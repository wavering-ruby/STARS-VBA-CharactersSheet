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2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mgmde\Downloads\"/>
    </mc:Choice>
  </mc:AlternateContent>
  <xr:revisionPtr revIDLastSave="0" documentId="13_ncr:1_{B5B75C2E-CFFD-444F-9A4C-ED414295D74E}" xr6:coauthVersionLast="47" xr6:coauthVersionMax="47" xr10:uidLastSave="{00000000-0000-0000-0000-000000000000}"/>
  <bookViews>
    <workbookView xWindow="-108" yWindow="-108" windowWidth="23256" windowHeight="12456" xr2:uid="{F5948357-C3D8-430D-9A83-EF9F6AD52DE5}"/>
  </bookViews>
  <sheets>
    <sheet name="Básico" sheetId="1" r:id="rId1"/>
    <sheet name="Subclasse" sheetId="9" state="hidden" r:id="rId2"/>
    <sheet name="Equipamento" sheetId="4" r:id="rId3"/>
    <sheet name="Passagem" sheetId="8" r:id="rId4"/>
    <sheet name="Outros" sheetId="7" state="hidden" r:id="rId5"/>
    <sheet name="Rank" sheetId="6" state="hidden" r:id="rId6"/>
    <sheet name="Tipos das Armas" sheetId="5" state="hidden" r:id="rId7"/>
    <sheet name="Treinamento" sheetId="3" state="hidden" r:id="rId8"/>
    <sheet name="Classe" sheetId="2" state="hidden" r:id="rId9"/>
  </sheets>
  <functionGroups builtInGroupCount="19"/>
  <definedNames>
    <definedName name="_xleta.SUM" hidden="1" xlm="1">#NAME?</definedName>
    <definedName name="_xleta.VALUETOTEX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" i="9" l="1" a="1"/>
  <c r="I1" i="9" s="1"/>
  <c r="P34" i="1"/>
  <c r="N34" i="1"/>
  <c r="P17" i="1"/>
  <c r="P4" i="1"/>
  <c r="P3" i="1"/>
  <c r="G53" i="1" l="1"/>
  <c r="L26" i="1"/>
  <c r="D15" i="4" l="1"/>
  <c r="P9" i="1"/>
  <c r="P8" i="1"/>
  <c r="M12" i="1" s="1"/>
  <c r="P7" i="1"/>
  <c r="M14" i="1" s="1"/>
  <c r="P6" i="1"/>
  <c r="M13" i="1" s="1"/>
  <c r="P5" i="1"/>
  <c r="L17" i="1" s="1"/>
  <c r="D11" i="4" l="1"/>
  <c r="F11" i="4" s="1"/>
  <c r="L53" i="1"/>
  <c r="E15" i="4"/>
  <c r="G15" i="4"/>
  <c r="C1048576" i="1"/>
  <c r="N17" i="1"/>
  <c r="L22" i="1"/>
  <c r="V30" i="1" l="1"/>
  <c r="V29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5" i="1"/>
  <c r="V14" i="1"/>
  <c r="V13" i="1"/>
  <c r="V12" i="1"/>
  <c r="V11" i="1"/>
  <c r="V10" i="1"/>
  <c r="V9" i="1"/>
  <c r="V8" i="1"/>
  <c r="V7" i="1"/>
  <c r="V6" i="1"/>
  <c r="V5" i="1"/>
  <c r="V4" i="1"/>
  <c r="V3" i="1"/>
  <c r="P53" i="1" l="1"/>
  <c r="G8" i="1"/>
  <c r="P14" i="1" l="1"/>
  <c r="P13" i="1"/>
  <c r="P12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<sst xmlns="http://schemas.openxmlformats.org/spreadsheetml/2006/main" count="416" uniqueCount="257">
  <si>
    <t>Características Básicas</t>
  </si>
  <si>
    <t>Nome:</t>
  </si>
  <si>
    <t>Idade:</t>
  </si>
  <si>
    <t>Local nasc.:</t>
  </si>
  <si>
    <t>Antepassado:</t>
  </si>
  <si>
    <t>Classe:</t>
  </si>
  <si>
    <t>Trilha:</t>
  </si>
  <si>
    <t>Expo. Caótica:</t>
  </si>
  <si>
    <t>Poderes</t>
  </si>
  <si>
    <t>Descrição</t>
  </si>
  <si>
    <t>Nome</t>
  </si>
  <si>
    <t>Tipo</t>
  </si>
  <si>
    <t>Dano</t>
  </si>
  <si>
    <t>Atributo</t>
  </si>
  <si>
    <t>Outros</t>
  </si>
  <si>
    <t>Total</t>
  </si>
  <si>
    <t>Força</t>
  </si>
  <si>
    <t>Inteligência</t>
  </si>
  <si>
    <t>Destreza</t>
  </si>
  <si>
    <t>Poder</t>
  </si>
  <si>
    <t>Sabedoria</t>
  </si>
  <si>
    <t>Constituição</t>
  </si>
  <si>
    <t>Carisma</t>
  </si>
  <si>
    <t>Atual</t>
  </si>
  <si>
    <t>Perdido</t>
  </si>
  <si>
    <t>Restante</t>
  </si>
  <si>
    <t>Classe</t>
  </si>
  <si>
    <t>Duelista</t>
  </si>
  <si>
    <t>Especialista</t>
  </si>
  <si>
    <t>Individualista</t>
  </si>
  <si>
    <t>Normalista</t>
  </si>
  <si>
    <t>Anarquista</t>
  </si>
  <si>
    <t>PV Inicial</t>
  </si>
  <si>
    <t>PP Inicial</t>
  </si>
  <si>
    <t>PV por Ex. Ca.</t>
  </si>
  <si>
    <t>PS Inicial</t>
  </si>
  <si>
    <t>PP por Ex. Ca.</t>
  </si>
  <si>
    <t>PS por Ex. Ca.</t>
  </si>
  <si>
    <t>PS</t>
  </si>
  <si>
    <t>PP</t>
  </si>
  <si>
    <t>PV</t>
  </si>
  <si>
    <t>Rank:</t>
  </si>
  <si>
    <t>Data nasc.:</t>
  </si>
  <si>
    <t>Defesa Passiva</t>
  </si>
  <si>
    <t>Temporário</t>
  </si>
  <si>
    <t>Dificuldade de Teste</t>
  </si>
  <si>
    <t>Bônus de DT</t>
  </si>
  <si>
    <t>Deslocamento (m)</t>
  </si>
  <si>
    <t>Características</t>
  </si>
  <si>
    <t>Atributos e Status</t>
  </si>
  <si>
    <t>Pontos de Características</t>
  </si>
  <si>
    <t>Custo</t>
  </si>
  <si>
    <t>Comentário</t>
  </si>
  <si>
    <t>Perícias</t>
  </si>
  <si>
    <t>Atri. Base</t>
  </si>
  <si>
    <t>Treinamento</t>
  </si>
  <si>
    <t>Acrobacia</t>
  </si>
  <si>
    <t>Leigo</t>
  </si>
  <si>
    <t>Adestramento</t>
  </si>
  <si>
    <t>Atletismo</t>
  </si>
  <si>
    <t>Atuação</t>
  </si>
  <si>
    <t>Ciência</t>
  </si>
  <si>
    <t>Diplomacia</t>
  </si>
  <si>
    <t>Enganação</t>
  </si>
  <si>
    <t>Fortitude</t>
  </si>
  <si>
    <t>Furtividade</t>
  </si>
  <si>
    <t>História</t>
  </si>
  <si>
    <t>Intimidação</t>
  </si>
  <si>
    <t>Intuição</t>
  </si>
  <si>
    <t>Iniciativa</t>
  </si>
  <si>
    <t>Investigação</t>
  </si>
  <si>
    <t>Lutar</t>
  </si>
  <si>
    <t>Medicina</t>
  </si>
  <si>
    <t>Ocultismo</t>
  </si>
  <si>
    <t>Percepção</t>
  </si>
  <si>
    <t>Pilotagem</t>
  </si>
  <si>
    <t>Pontaria</t>
  </si>
  <si>
    <t>Prestidigitação</t>
  </si>
  <si>
    <t>Reflexos</t>
  </si>
  <si>
    <t>Religião</t>
  </si>
  <si>
    <t>Sobrevivência</t>
  </si>
  <si>
    <t>Tática</t>
  </si>
  <si>
    <t>Tecnologia</t>
  </si>
  <si>
    <t>Vontade</t>
  </si>
  <si>
    <t>Faixa Etária:</t>
  </si>
  <si>
    <t>Calejado</t>
  </si>
  <si>
    <t>Manufatura</t>
  </si>
  <si>
    <t>Experiente</t>
  </si>
  <si>
    <t>Mestre</t>
  </si>
  <si>
    <t>Armamento</t>
  </si>
  <si>
    <t>Crítico</t>
  </si>
  <si>
    <t>Alcance</t>
  </si>
  <si>
    <t>Recarga</t>
  </si>
  <si>
    <t>Espaço</t>
  </si>
  <si>
    <t>Especial</t>
  </si>
  <si>
    <t>Acessórios</t>
  </si>
  <si>
    <t>Quantidade máx. (espaço)</t>
  </si>
  <si>
    <t>Quantidade atual</t>
  </si>
  <si>
    <t>Armadura</t>
  </si>
  <si>
    <t>Defesa</t>
  </si>
  <si>
    <t>Crédito</t>
  </si>
  <si>
    <t>Crédito Max</t>
  </si>
  <si>
    <t>Crédito Gas.</t>
  </si>
  <si>
    <t>Crédito Atu.</t>
  </si>
  <si>
    <t>Consecutivo</t>
  </si>
  <si>
    <t xml:space="preserve">A arma é rápida e ágil, permitindo atacar em seguida. Se você for sucedido em um ataque, no seu próximo ataque pode gastar uma ação de movimento para receber +1 no ataque (Cumulativo). </t>
  </si>
  <si>
    <t>Cone</t>
  </si>
  <si>
    <t>A arma realiza um ataque em cone que acerta todos no alcance, o mesmo teste é feito para todos no alcance de 3m de largura.</t>
  </si>
  <si>
    <t>Discreta</t>
  </si>
  <si>
    <t>Em um teste de Prestidigitação para esconder esta arma, recebe +5 no teste.</t>
  </si>
  <si>
    <t>Estendida</t>
  </si>
  <si>
    <t>A arma é capaz de realizar ataques em uma distância maior. Você pode atacar personagens em um alcance de até 3m.</t>
  </si>
  <si>
    <t>Sangrenta</t>
  </si>
  <si>
    <t>A arma tem um corte afiado, fazendo o alvo sangrar, quando acerta o alvo, você pode escolher não dar o dano da arma e fazer com que o alvo faça um teste de Fortitude (DT 10 + Agi) ou ficara com a condição sangrando, só pode ser usada em armas de dano Cortante.</t>
  </si>
  <si>
    <t>Eletrizante</t>
  </si>
  <si>
    <t>A arma tem uma espécie de circuito elétrico que pode ser ativado, quando acerta um alvo, você pode escolher não dar o dano da arma e fazer com que o alvo faça um teste Fortitude (DT 10 + Agi) ou ficara com a condição em choque</t>
  </si>
  <si>
    <t>Envenenada</t>
  </si>
  <si>
    <t>A arma tem um forte veneno imbuído, quando acerta um alvo, você faz com que ele faça um teste de Fortitude (DT 10 + For) ou ficara com a condição Envenenado, tomando 1d6 de dano.</t>
  </si>
  <si>
    <t>Versátil</t>
  </si>
  <si>
    <t>Você pode escolher segurar essa arma com uma ou duas mãos para aumentar o seu dano.</t>
  </si>
  <si>
    <t>A arma é de pequeno porte e pode ser escondida com maior facilidade. Quando realiza um teste de Prestidigitação para esconde-la, recebe +5 no teste.</t>
  </si>
  <si>
    <t>Potente</t>
  </si>
  <si>
    <t>A arma é grande e rápida, permitindo um manuseio acrobático e atlético melhor. Quando realiza um teste de Manobra com esta arma, ganha +1 no teste.</t>
  </si>
  <si>
    <t>Mira Livre</t>
  </si>
  <si>
    <t>Uma arma que já possui assistência tática ao mirar, não recebe a penalidade por não estar mirando em um alvo adjacente a outra pessoa.</t>
  </si>
  <si>
    <t>Rajada</t>
  </si>
  <si>
    <t>A arma é automática e consegue realizar diversos disparos. Quando realiza um ataque com essa arma, pode gastar uma ação completa ao invés de padrão para realizar um ataque adicional, porém com -2 no teste de ataque.</t>
  </si>
  <si>
    <t>Rajada e Fixa</t>
  </si>
  <si>
    <t>Quando realiza um ataque, gasta uma ação completa para um ataque adicional -2 no ataque, além disso, precisa de 3 ou mais de força ou terá que montá-la no chão com uma ação padrão, ficando imóvel a utilizando</t>
  </si>
  <si>
    <t>Bazuca</t>
  </si>
  <si>
    <t>Causa dano em seu alvo e a seres até 3m dele, esses seres podem fazer um teste de Reflexos (DT 15) para reduzir o dano pela metade.</t>
  </si>
  <si>
    <t>Detalhes das Armas</t>
  </si>
  <si>
    <t>Rank</t>
  </si>
  <si>
    <t>Influência</t>
  </si>
  <si>
    <t>E</t>
  </si>
  <si>
    <t>D</t>
  </si>
  <si>
    <t>C</t>
  </si>
  <si>
    <t>B</t>
  </si>
  <si>
    <t>A</t>
  </si>
  <si>
    <t>S</t>
  </si>
  <si>
    <t>Z</t>
  </si>
  <si>
    <t>Ilimitado</t>
  </si>
  <si>
    <t>Gasto</t>
  </si>
  <si>
    <t>Outros Gastos</t>
  </si>
  <si>
    <t/>
  </si>
  <si>
    <t>Bônus de DP</t>
  </si>
  <si>
    <t>Habilidades de Classe</t>
  </si>
  <si>
    <t>%</t>
  </si>
  <si>
    <t>Estrelas</t>
  </si>
  <si>
    <t>★</t>
  </si>
  <si>
    <t>★★</t>
  </si>
  <si>
    <t>★★★</t>
  </si>
  <si>
    <t>Elemento</t>
  </si>
  <si>
    <t>Realidade</t>
  </si>
  <si>
    <t>Alma</t>
  </si>
  <si>
    <t>Tempo</t>
  </si>
  <si>
    <t>Transformação</t>
  </si>
  <si>
    <t>Mente</t>
  </si>
  <si>
    <t>Aplicável?</t>
  </si>
  <si>
    <t>RD (n°)</t>
  </si>
  <si>
    <t>SIM</t>
  </si>
  <si>
    <t>NÃO</t>
  </si>
  <si>
    <t>Dano Recebido</t>
  </si>
  <si>
    <t>Dividisão de dano</t>
  </si>
  <si>
    <t>Resistência Aplicada</t>
  </si>
  <si>
    <t>Cálculo de Dano</t>
  </si>
  <si>
    <t>Físico</t>
  </si>
  <si>
    <t>Impacto</t>
  </si>
  <si>
    <t>Balístico</t>
  </si>
  <si>
    <t>Fogo</t>
  </si>
  <si>
    <t>Cortante</t>
  </si>
  <si>
    <t>Perfurante</t>
  </si>
  <si>
    <t>Químico</t>
  </si>
  <si>
    <t>Frio</t>
  </si>
  <si>
    <t>Deslocamento (q)</t>
  </si>
  <si>
    <t>★★★★★</t>
  </si>
  <si>
    <t>★★★★</t>
  </si>
  <si>
    <t>★★★★★★★</t>
  </si>
  <si>
    <t>X%</t>
  </si>
  <si>
    <t>Dado</t>
  </si>
  <si>
    <t>Quantidade (Inteiro)</t>
  </si>
  <si>
    <t>Rolagem de Dados</t>
  </si>
  <si>
    <t>Perícia (+ Mod)</t>
  </si>
  <si>
    <t>d6</t>
  </si>
  <si>
    <t>Dano Adicional</t>
  </si>
  <si>
    <t>d2</t>
  </si>
  <si>
    <t>d3</t>
  </si>
  <si>
    <t>d4</t>
  </si>
  <si>
    <t>d8</t>
  </si>
  <si>
    <t>d10</t>
  </si>
  <si>
    <t>d12</t>
  </si>
  <si>
    <t>d20</t>
  </si>
  <si>
    <t>d100</t>
  </si>
  <si>
    <t>Vantagem</t>
  </si>
  <si>
    <t>Desvantagem</t>
  </si>
  <si>
    <t>cm</t>
  </si>
  <si>
    <t>Bloquear</t>
  </si>
  <si>
    <t>Esquiva</t>
  </si>
  <si>
    <t>Perpepção Passiva</t>
  </si>
  <si>
    <t>Reações  / Per. Pass.</t>
  </si>
  <si>
    <t>Passagem</t>
  </si>
  <si>
    <t>Elemento(s)</t>
  </si>
  <si>
    <t>Custo (Sanidade)</t>
  </si>
  <si>
    <t>Resumo</t>
  </si>
  <si>
    <t>Exposição Caótica</t>
  </si>
  <si>
    <t>Afinidade com Poder</t>
  </si>
  <si>
    <t>Afinidade com Transformação</t>
  </si>
  <si>
    <t>Afinidade com Espaço</t>
  </si>
  <si>
    <t>Afinidade com Realidade</t>
  </si>
  <si>
    <t>Afinidade com Tempo</t>
  </si>
  <si>
    <t>Afinidade com Mente</t>
  </si>
  <si>
    <t>Afinidade com Alma</t>
  </si>
  <si>
    <t>RD Mental</t>
  </si>
  <si>
    <t>RD adicional</t>
  </si>
  <si>
    <t>Atributo (+ Mod)</t>
  </si>
  <si>
    <t xml:space="preserve">Tamanho da Pika do Personagem: </t>
  </si>
  <si>
    <t>Anotações</t>
  </si>
  <si>
    <t>Dano Real</t>
  </si>
  <si>
    <t>Ação de Bloqueio</t>
  </si>
  <si>
    <t>12 &lt;- [ 9 ] + 3</t>
  </si>
  <si>
    <t>Subclasse</t>
  </si>
  <si>
    <t>Anomalístico</t>
  </si>
  <si>
    <t>Beligerante</t>
  </si>
  <si>
    <t>Caçador</t>
  </si>
  <si>
    <t>Comandante</t>
  </si>
  <si>
    <t>Combatente</t>
  </si>
  <si>
    <t>Executor</t>
  </si>
  <si>
    <t>Furioso</t>
  </si>
  <si>
    <t>Mestre de Batalha</t>
  </si>
  <si>
    <t>Pugilista</t>
  </si>
  <si>
    <t>Robusto</t>
  </si>
  <si>
    <t>Sagaz</t>
  </si>
  <si>
    <t>Tropa de Elite</t>
  </si>
  <si>
    <t>Ardiloso</t>
  </si>
  <si>
    <t>Atirador de Elite</t>
  </si>
  <si>
    <t>Detetive</t>
  </si>
  <si>
    <t>Infiltrador</t>
  </si>
  <si>
    <t>Socorrista</t>
  </si>
  <si>
    <t>Negociador</t>
  </si>
  <si>
    <t>Técnico</t>
  </si>
  <si>
    <t>Criptológo</t>
  </si>
  <si>
    <t>Alquimista</t>
  </si>
  <si>
    <t>Treinador de Monstros</t>
  </si>
  <si>
    <t>Arqueiro</t>
  </si>
  <si>
    <t>Hacker</t>
  </si>
  <si>
    <t>Caminho da Agonia</t>
  </si>
  <si>
    <t>Caminho da Crueldade</t>
  </si>
  <si>
    <t>Caminho da Desordem</t>
  </si>
  <si>
    <t>Caminho da Destruição</t>
  </si>
  <si>
    <t>Caminho da Injustiça</t>
  </si>
  <si>
    <t>Caminho do Medo</t>
  </si>
  <si>
    <t>Caminho do Remorso</t>
  </si>
  <si>
    <t>Cartomante</t>
  </si>
  <si>
    <t>Investigador Paranormal</t>
  </si>
  <si>
    <t>Juramentado</t>
  </si>
  <si>
    <t>Necromante</t>
  </si>
  <si>
    <t>Possuído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</si>
</sst>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8" x14ac:knownFonts="1">
    <font>
      <sz val="11"/>
      <color theme="1"/>
      <name val="Aptos Narrow"/>
      <family val="2"/>
      <scheme val="minor"/>
    </font>
    <font>
      <b/>
      <sz val="14"/>
      <color theme="1"/>
      <name val="Agency FB"/>
      <family val="2"/>
    </font>
    <font>
      <b/>
      <sz val="12"/>
      <color theme="1"/>
      <name val="Agency FB"/>
      <family val="2"/>
    </font>
    <font>
      <b/>
      <sz val="14"/>
      <color theme="0"/>
      <name val="Agency FB"/>
      <family val="2"/>
    </font>
    <font>
      <b/>
      <sz val="12"/>
      <color theme="0"/>
      <name val="Agency FB"/>
      <family val="2"/>
    </font>
    <font>
      <sz val="12"/>
      <color theme="1"/>
      <name val="Arial Narrow"/>
      <family val="2"/>
    </font>
    <font>
      <sz val="12"/>
      <color theme="1"/>
      <name val="Agency FB"/>
      <family val="2"/>
    </font>
    <font>
      <sz val="48"/>
      <name val="Agency FB"/>
      <family val="2"/>
    </font>
    <font>
      <sz val="48"/>
      <color theme="0"/>
      <name val="Algerian"/>
      <family val="5"/>
    </font>
    <font>
      <b/>
      <sz val="16"/>
      <color theme="0"/>
      <name val="Agency FB"/>
      <family val="2"/>
    </font>
    <font>
      <i/>
      <sz val="11"/>
      <color theme="1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36"/>
      <color theme="1"/>
      <name val="Agency FB"/>
      <family val="2"/>
    </font>
    <font>
      <sz val="16"/>
      <color theme="0"/>
      <name val="Agency FB"/>
      <family val="2"/>
    </font>
    <font>
      <sz val="16"/>
      <color theme="1"/>
      <name val="Agency FB"/>
      <family val="2"/>
    </font>
    <font>
      <sz val="28"/>
      <color theme="1"/>
      <name val="Agency FB"/>
      <family val="2"/>
    </font>
    <font>
      <b/>
      <sz val="12"/>
      <name val="Aptos Narrow"/>
      <family val="2"/>
      <scheme val="minor"/>
    </font>
    <font>
      <sz val="12"/>
      <name val="Agency FB"/>
      <family val="2"/>
    </font>
    <font>
      <b/>
      <sz val="11"/>
      <color theme="1"/>
      <name val="Aptos Narrow"/>
      <family val="2"/>
      <scheme val="minor"/>
    </font>
    <font>
      <b/>
      <sz val="35"/>
      <color theme="1"/>
      <name val="Agency FB"/>
      <family val="2"/>
    </font>
    <font>
      <sz val="40"/>
      <color theme="0"/>
      <name val="Algerian"/>
      <family val="5"/>
    </font>
    <font>
      <sz val="32"/>
      <color theme="1"/>
      <name val="Agency FB"/>
      <family val="2"/>
    </font>
    <font>
      <sz val="11"/>
      <color theme="1"/>
      <name val="Aptos Narrow"/>
      <family val="2"/>
      <scheme val="minor"/>
    </font>
    <font>
      <sz val="14"/>
      <color theme="1"/>
      <name val="Agency FB"/>
      <family val="2"/>
    </font>
    <font>
      <sz val="48"/>
      <color theme="1"/>
      <name val="Algerian"/>
      <family val="5"/>
    </font>
    <font>
      <sz val="48"/>
      <name val="Algerian"/>
      <family val="5"/>
    </font>
    <font>
      <sz val="12"/>
      <color theme="1"/>
      <name val="Aptos Narrow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theme="0" tint="-0.34998626667073579"/>
      </patternFill>
    </fill>
    <fill>
      <patternFill patternType="solid">
        <fgColor rgb="FFFFFF66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</fills>
  <borders count="6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indexed="64"/>
      </bottom>
      <diagonal/>
    </border>
    <border>
      <left/>
      <right/>
      <top style="thin">
        <color theme="1"/>
      </top>
      <bottom style="thin">
        <color indexed="64"/>
      </bottom>
      <diagonal/>
    </border>
    <border>
      <left style="thin">
        <color theme="1"/>
      </left>
      <right/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medium">
        <color indexed="64"/>
      </left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 style="thick">
        <color theme="0"/>
      </bottom>
      <diagonal/>
    </border>
    <border>
      <left/>
      <right/>
      <top style="medium">
        <color indexed="64"/>
      </top>
      <bottom style="thick">
        <color theme="0"/>
      </bottom>
      <diagonal/>
    </border>
    <border>
      <left/>
      <right style="medium">
        <color indexed="64"/>
      </right>
      <top style="medium">
        <color indexed="64"/>
      </top>
      <bottom style="thick">
        <color theme="0"/>
      </bottom>
      <diagonal/>
    </border>
    <border>
      <left style="medium">
        <color indexed="64"/>
      </left>
      <right/>
      <top style="thick">
        <color theme="0"/>
      </top>
      <bottom style="thin">
        <color indexed="64"/>
      </bottom>
      <diagonal/>
    </border>
    <border>
      <left/>
      <right/>
      <top style="thick">
        <color theme="0"/>
      </top>
      <bottom style="thin">
        <color indexed="64"/>
      </bottom>
      <diagonal/>
    </border>
    <border>
      <left/>
      <right style="medium">
        <color indexed="64"/>
      </right>
      <top style="thick">
        <color theme="0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indexed="64"/>
      </right>
      <top/>
      <bottom style="thick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23" fillId="0" borderId="0" applyFont="0" applyFill="0" applyBorder="0" applyAlignment="0" applyProtection="0"/>
  </cellStyleXfs>
  <cellXfs count="245">
    <xf numFmtId="0" fontId="0" fillId="0" borderId="0" xfId="0"/>
    <xf numFmtId="0" fontId="0" fillId="0" borderId="9" xfId="0" applyBorder="1" applyAlignment="1">
      <alignment horizontal="left" vertical="top"/>
    </xf>
    <xf numFmtId="0" fontId="0" fillId="0" borderId="9" xfId="0" applyBorder="1"/>
    <xf numFmtId="0" fontId="2" fillId="3" borderId="10" xfId="0" applyFont="1" applyFill="1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14" xfId="0" applyBorder="1" applyAlignment="1">
      <alignment horizontal="left" vertical="top"/>
    </xf>
    <xf numFmtId="0" fontId="2" fillId="3" borderId="11" xfId="0" applyFont="1" applyFill="1" applyBorder="1" applyAlignment="1">
      <alignment horizontal="left" vertical="top"/>
    </xf>
    <xf numFmtId="0" fontId="4" fillId="4" borderId="21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4" fillId="4" borderId="22" xfId="0" applyFont="1" applyFill="1" applyBorder="1" applyAlignment="1">
      <alignment horizontal="center" vertical="center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3" fillId="4" borderId="30" xfId="0" applyFont="1" applyFill="1" applyBorder="1" applyAlignment="1">
      <alignment horizontal="center"/>
    </xf>
    <xf numFmtId="9" fontId="3" fillId="4" borderId="31" xfId="0" applyNumberFormat="1" applyFont="1" applyFill="1" applyBorder="1" applyAlignment="1">
      <alignment horizontal="center"/>
    </xf>
    <xf numFmtId="0" fontId="3" fillId="4" borderId="32" xfId="0" applyFont="1" applyFill="1" applyBorder="1" applyAlignment="1">
      <alignment horizontal="center"/>
    </xf>
    <xf numFmtId="0" fontId="5" fillId="5" borderId="30" xfId="0" applyFont="1" applyFill="1" applyBorder="1"/>
    <xf numFmtId="0" fontId="6" fillId="5" borderId="31" xfId="0" applyFont="1" applyFill="1" applyBorder="1" applyAlignment="1">
      <alignment horizontal="center" vertical="center"/>
    </xf>
    <xf numFmtId="0" fontId="2" fillId="5" borderId="32" xfId="0" applyFont="1" applyFill="1" applyBorder="1" applyAlignment="1">
      <alignment horizontal="center" vertical="center"/>
    </xf>
    <xf numFmtId="0" fontId="5" fillId="5" borderId="28" xfId="0" applyFont="1" applyFill="1" applyBorder="1"/>
    <xf numFmtId="0" fontId="6" fillId="5" borderId="29" xfId="0" applyFont="1" applyFill="1" applyBorder="1" applyAlignment="1">
      <alignment horizontal="center" vertical="center"/>
    </xf>
    <xf numFmtId="0" fontId="3" fillId="7" borderId="30" xfId="0" applyFont="1" applyFill="1" applyBorder="1" applyAlignment="1">
      <alignment horizontal="center" vertical="center"/>
    </xf>
    <xf numFmtId="9" fontId="3" fillId="7" borderId="31" xfId="0" applyNumberFormat="1" applyFont="1" applyFill="1" applyBorder="1" applyAlignment="1">
      <alignment horizontal="center" vertical="center"/>
    </xf>
    <xf numFmtId="0" fontId="3" fillId="7" borderId="31" xfId="0" applyFont="1" applyFill="1" applyBorder="1" applyAlignment="1">
      <alignment horizontal="center" vertical="center"/>
    </xf>
    <xf numFmtId="0" fontId="3" fillId="7" borderId="32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0" borderId="29" xfId="0" applyFont="1" applyBorder="1" applyAlignment="1">
      <alignment horizontal="center" vertical="center"/>
    </xf>
    <xf numFmtId="0" fontId="5" fillId="3" borderId="30" xfId="0" applyFont="1" applyFill="1" applyBorder="1"/>
    <xf numFmtId="0" fontId="5" fillId="3" borderId="28" xfId="0" applyFont="1" applyFill="1" applyBorder="1"/>
    <xf numFmtId="0" fontId="6" fillId="3" borderId="31" xfId="0" applyFont="1" applyFill="1" applyBorder="1" applyAlignment="1">
      <alignment horizontal="center" vertical="center"/>
    </xf>
    <xf numFmtId="0" fontId="2" fillId="5" borderId="33" xfId="0" applyFont="1" applyFill="1" applyBorder="1" applyAlignment="1">
      <alignment horizontal="center" vertical="center"/>
    </xf>
    <xf numFmtId="0" fontId="4" fillId="7" borderId="30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38" xfId="0" applyFon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10" fillId="0" borderId="0" xfId="0" applyFont="1"/>
    <xf numFmtId="0" fontId="11" fillId="7" borderId="47" xfId="0" applyFont="1" applyFill="1" applyBorder="1" applyAlignment="1">
      <alignment horizontal="center"/>
    </xf>
    <xf numFmtId="0" fontId="11" fillId="7" borderId="46" xfId="0" applyFont="1" applyFill="1" applyBorder="1" applyAlignment="1">
      <alignment horizontal="center"/>
    </xf>
    <xf numFmtId="0" fontId="11" fillId="7" borderId="48" xfId="0" applyFont="1" applyFill="1" applyBorder="1" applyAlignment="1">
      <alignment horizontal="center"/>
    </xf>
    <xf numFmtId="0" fontId="11" fillId="7" borderId="47" xfId="0" applyFont="1" applyFill="1" applyBorder="1" applyAlignment="1">
      <alignment horizontal="center" vertical="center"/>
    </xf>
    <xf numFmtId="0" fontId="11" fillId="7" borderId="46" xfId="0" applyFont="1" applyFill="1" applyBorder="1" applyAlignment="1">
      <alignment horizontal="center" vertical="center"/>
    </xf>
    <xf numFmtId="0" fontId="11" fillId="7" borderId="48" xfId="0" applyFont="1" applyFill="1" applyBorder="1" applyAlignment="1">
      <alignment horizontal="center" vertical="center"/>
    </xf>
    <xf numFmtId="0" fontId="0" fillId="9" borderId="40" xfId="0" applyFill="1" applyBorder="1" applyAlignment="1">
      <alignment horizontal="center" vertical="center"/>
    </xf>
    <xf numFmtId="0" fontId="0" fillId="9" borderId="41" xfId="0" applyFill="1" applyBorder="1" applyAlignment="1">
      <alignment horizontal="center" vertical="center"/>
    </xf>
    <xf numFmtId="0" fontId="0" fillId="9" borderId="42" xfId="0" applyFill="1" applyBorder="1" applyAlignment="1">
      <alignment horizontal="center" vertical="center"/>
    </xf>
    <xf numFmtId="0" fontId="0" fillId="5" borderId="43" xfId="0" applyFill="1" applyBorder="1" applyAlignment="1">
      <alignment horizontal="center" vertical="center"/>
    </xf>
    <xf numFmtId="0" fontId="0" fillId="5" borderId="44" xfId="0" applyFill="1" applyBorder="1" applyAlignment="1">
      <alignment horizontal="center" vertical="center"/>
    </xf>
    <xf numFmtId="0" fontId="0" fillId="5" borderId="45" xfId="0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15" fillId="0" borderId="0" xfId="0" applyFont="1" applyAlignment="1">
      <alignment vertical="center" wrapText="1"/>
    </xf>
    <xf numFmtId="0" fontId="0" fillId="0" borderId="0" xfId="0" quotePrefix="1" applyAlignment="1">
      <alignment horizontal="center" vertical="center"/>
    </xf>
    <xf numFmtId="0" fontId="0" fillId="0" borderId="49" xfId="0" applyBorder="1"/>
    <xf numFmtId="0" fontId="0" fillId="0" borderId="18" xfId="0" applyBorder="1"/>
    <xf numFmtId="9" fontId="0" fillId="0" borderId="19" xfId="0" applyNumberFormat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0" fontId="0" fillId="0" borderId="22" xfId="0" quotePrefix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9" fontId="0" fillId="0" borderId="14" xfId="0" applyNumberForma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6" fillId="0" borderId="37" xfId="0" applyFont="1" applyBorder="1"/>
    <xf numFmtId="0" fontId="6" fillId="0" borderId="39" xfId="0" applyFont="1" applyBorder="1"/>
    <xf numFmtId="0" fontId="6" fillId="0" borderId="28" xfId="0" applyFont="1" applyBorder="1"/>
    <xf numFmtId="0" fontId="6" fillId="0" borderId="30" xfId="0" applyFont="1" applyBorder="1"/>
    <xf numFmtId="0" fontId="0" fillId="0" borderId="22" xfId="0" quotePrefix="1" applyBorder="1"/>
    <xf numFmtId="0" fontId="0" fillId="0" borderId="20" xfId="0" quotePrefix="1" applyBorder="1"/>
    <xf numFmtId="0" fontId="4" fillId="4" borderId="61" xfId="0" applyFont="1" applyFill="1" applyBorder="1" applyAlignment="1">
      <alignment horizontal="center" vertical="center"/>
    </xf>
    <xf numFmtId="0" fontId="4" fillId="4" borderId="46" xfId="0" applyFont="1" applyFill="1" applyBorder="1" applyAlignment="1">
      <alignment horizontal="center" vertical="center"/>
    </xf>
    <xf numFmtId="0" fontId="4" fillId="4" borderId="62" xfId="0" applyFont="1" applyFill="1" applyBorder="1" applyAlignment="1">
      <alignment horizontal="center" vertical="center"/>
    </xf>
    <xf numFmtId="0" fontId="19" fillId="0" borderId="0" xfId="0" applyFont="1" applyAlignment="1">
      <alignment horizontal="left" vertical="center"/>
    </xf>
    <xf numFmtId="0" fontId="4" fillId="4" borderId="10" xfId="0" applyFont="1" applyFill="1" applyBorder="1" applyAlignment="1">
      <alignment horizontal="center" vertical="center"/>
    </xf>
    <xf numFmtId="0" fontId="4" fillId="4" borderId="13" xfId="0" applyFont="1" applyFill="1" applyBorder="1" applyAlignment="1">
      <alignment horizontal="center" vertical="center"/>
    </xf>
    <xf numFmtId="0" fontId="3" fillId="4" borderId="63" xfId="0" applyFont="1" applyFill="1" applyBorder="1" applyAlignment="1">
      <alignment horizontal="center" vertical="center"/>
    </xf>
    <xf numFmtId="9" fontId="3" fillId="4" borderId="64" xfId="0" applyNumberFormat="1" applyFont="1" applyFill="1" applyBorder="1" applyAlignment="1">
      <alignment horizontal="center" vertical="center"/>
    </xf>
    <xf numFmtId="0" fontId="3" fillId="4" borderId="66" xfId="0" applyFont="1" applyFill="1" applyBorder="1" applyAlignment="1">
      <alignment horizontal="center" vertical="center"/>
    </xf>
    <xf numFmtId="9" fontId="24" fillId="9" borderId="0" xfId="1" applyFont="1" applyFill="1" applyBorder="1" applyAlignment="1">
      <alignment horizontal="center" vertical="center"/>
    </xf>
    <xf numFmtId="9" fontId="24" fillId="5" borderId="0" xfId="1" applyFont="1" applyFill="1" applyBorder="1" applyAlignment="1">
      <alignment horizontal="center" vertical="center"/>
    </xf>
    <xf numFmtId="9" fontId="24" fillId="5" borderId="16" xfId="1" applyFont="1" applyFill="1" applyBorder="1" applyAlignment="1">
      <alignment horizontal="center" vertical="center"/>
    </xf>
    <xf numFmtId="0" fontId="24" fillId="9" borderId="7" xfId="0" applyFont="1" applyFill="1" applyBorder="1"/>
    <xf numFmtId="0" fontId="24" fillId="5" borderId="7" xfId="0" applyFont="1" applyFill="1" applyBorder="1"/>
    <xf numFmtId="0" fontId="24" fillId="5" borderId="15" xfId="0" applyFont="1" applyFill="1" applyBorder="1"/>
    <xf numFmtId="0" fontId="4" fillId="4" borderId="67" xfId="0" applyFont="1" applyFill="1" applyBorder="1" applyAlignment="1">
      <alignment horizontal="center" vertical="center"/>
    </xf>
    <xf numFmtId="0" fontId="24" fillId="9" borderId="0" xfId="0" applyFont="1" applyFill="1" applyAlignment="1">
      <alignment horizontal="left"/>
    </xf>
    <xf numFmtId="0" fontId="24" fillId="9" borderId="0" xfId="0" applyFont="1" applyFill="1" applyAlignment="1">
      <alignment horizontal="left" vertical="center"/>
    </xf>
    <xf numFmtId="0" fontId="24" fillId="5" borderId="0" xfId="0" applyFont="1" applyFill="1" applyAlignment="1">
      <alignment horizontal="left"/>
    </xf>
    <xf numFmtId="0" fontId="24" fillId="5" borderId="0" xfId="0" applyFont="1" applyFill="1" applyAlignment="1">
      <alignment horizontal="left" vertical="center"/>
    </xf>
    <xf numFmtId="0" fontId="24" fillId="5" borderId="16" xfId="0" applyFont="1" applyFill="1" applyBorder="1" applyAlignment="1">
      <alignment horizontal="left"/>
    </xf>
    <xf numFmtId="0" fontId="24" fillId="5" borderId="16" xfId="0" applyFont="1" applyFill="1" applyBorder="1" applyAlignment="1">
      <alignment horizontal="left" vertical="center"/>
    </xf>
    <xf numFmtId="0" fontId="6" fillId="0" borderId="13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27" fillId="0" borderId="13" xfId="0" applyFont="1" applyBorder="1" applyAlignment="1">
      <alignment vertical="center"/>
    </xf>
    <xf numFmtId="0" fontId="0" fillId="0" borderId="14" xfId="0" applyBorder="1" applyAlignment="1">
      <alignment horizontal="center" vertical="center"/>
    </xf>
    <xf numFmtId="0" fontId="22" fillId="0" borderId="25" xfId="0" applyFont="1" applyBorder="1" applyAlignment="1">
      <alignment horizontal="center" vertical="center"/>
    </xf>
    <xf numFmtId="0" fontId="22" fillId="0" borderId="26" xfId="0" applyFont="1" applyBorder="1" applyAlignment="1">
      <alignment horizontal="center" vertical="center"/>
    </xf>
    <xf numFmtId="0" fontId="22" fillId="0" borderId="27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" fillId="6" borderId="25" xfId="0" applyFont="1" applyFill="1" applyBorder="1" applyAlignment="1">
      <alignment horizontal="center" vertical="center" textRotation="90"/>
    </xf>
    <xf numFmtId="0" fontId="1" fillId="6" borderId="26" xfId="0" applyFont="1" applyFill="1" applyBorder="1" applyAlignment="1">
      <alignment horizontal="center" vertical="center" textRotation="90"/>
    </xf>
    <xf numFmtId="0" fontId="1" fillId="6" borderId="27" xfId="0" applyFont="1" applyFill="1" applyBorder="1" applyAlignment="1">
      <alignment horizontal="center" vertical="center" textRotation="90"/>
    </xf>
    <xf numFmtId="0" fontId="22" fillId="0" borderId="1" xfId="0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2" fillId="0" borderId="8" xfId="0" applyFont="1" applyBorder="1" applyAlignment="1">
      <alignment horizontal="center" vertical="center"/>
    </xf>
    <xf numFmtId="0" fontId="22" fillId="0" borderId="15" xfId="0" applyFont="1" applyBorder="1" applyAlignment="1">
      <alignment horizontal="center" vertical="center"/>
    </xf>
    <xf numFmtId="0" fontId="22" fillId="0" borderId="17" xfId="0" applyFont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0" fontId="20" fillId="5" borderId="34" xfId="0" applyFont="1" applyFill="1" applyBorder="1" applyAlignment="1">
      <alignment horizontal="center" vertical="center"/>
    </xf>
    <xf numFmtId="0" fontId="20" fillId="5" borderId="35" xfId="0" applyFont="1" applyFill="1" applyBorder="1" applyAlignment="1">
      <alignment horizontal="center" vertical="center"/>
    </xf>
    <xf numFmtId="0" fontId="20" fillId="5" borderId="36" xfId="0" applyFont="1" applyFill="1" applyBorder="1" applyAlignment="1">
      <alignment horizontal="center" vertical="center"/>
    </xf>
    <xf numFmtId="9" fontId="20" fillId="9" borderId="34" xfId="0" applyNumberFormat="1" applyFont="1" applyFill="1" applyBorder="1" applyAlignment="1">
      <alignment horizontal="center" vertical="center"/>
    </xf>
    <xf numFmtId="9" fontId="20" fillId="9" borderId="35" xfId="0" applyNumberFormat="1" applyFont="1" applyFill="1" applyBorder="1" applyAlignment="1">
      <alignment horizontal="center" vertical="center"/>
    </xf>
    <xf numFmtId="9" fontId="20" fillId="9" borderId="36" xfId="0" applyNumberFormat="1" applyFont="1" applyFill="1" applyBorder="1" applyAlignment="1">
      <alignment horizontal="center" vertical="center"/>
    </xf>
    <xf numFmtId="0" fontId="22" fillId="0" borderId="7" xfId="0" applyFont="1" applyBorder="1" applyAlignment="1">
      <alignment horizontal="center" vertical="center" wrapText="1"/>
    </xf>
    <xf numFmtId="0" fontId="22" fillId="0" borderId="8" xfId="0" applyFont="1" applyBorder="1" applyAlignment="1">
      <alignment horizontal="center" vertical="center" wrapText="1"/>
    </xf>
    <xf numFmtId="0" fontId="22" fillId="0" borderId="15" xfId="0" applyFont="1" applyBorder="1" applyAlignment="1">
      <alignment horizontal="center" vertical="center" wrapText="1"/>
    </xf>
    <xf numFmtId="0" fontId="22" fillId="0" borderId="17" xfId="0" applyFont="1" applyBorder="1" applyAlignment="1">
      <alignment horizontal="center" vertical="center" wrapText="1"/>
    </xf>
    <xf numFmtId="0" fontId="14" fillId="4" borderId="1" xfId="0" applyFont="1" applyFill="1" applyBorder="1" applyAlignment="1">
      <alignment horizontal="center" vertical="center"/>
    </xf>
    <xf numFmtId="0" fontId="14" fillId="4" borderId="3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9" fontId="0" fillId="0" borderId="13" xfId="0" applyNumberFormat="1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0" fontId="6" fillId="3" borderId="14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top"/>
    </xf>
    <xf numFmtId="0" fontId="8" fillId="4" borderId="19" xfId="0" applyFont="1" applyFill="1" applyBorder="1" applyAlignment="1">
      <alignment horizontal="center" vertical="center" wrapText="1"/>
    </xf>
    <xf numFmtId="0" fontId="8" fillId="4" borderId="0" xfId="0" applyFont="1" applyFill="1" applyAlignment="1">
      <alignment horizontal="center" vertical="center" wrapText="1"/>
    </xf>
    <xf numFmtId="0" fontId="4" fillId="7" borderId="31" xfId="0" applyFont="1" applyFill="1" applyBorder="1" applyAlignment="1">
      <alignment horizontal="center" vertical="center" wrapText="1"/>
    </xf>
    <xf numFmtId="0" fontId="4" fillId="7" borderId="14" xfId="0" applyFont="1" applyFill="1" applyBorder="1" applyAlignment="1">
      <alignment horizontal="center" vertical="center" wrapText="1"/>
    </xf>
    <xf numFmtId="9" fontId="3" fillId="4" borderId="0" xfId="0" applyNumberFormat="1" applyFont="1" applyFill="1" applyAlignment="1">
      <alignment horizontal="center"/>
    </xf>
    <xf numFmtId="0" fontId="1" fillId="3" borderId="25" xfId="0" applyFont="1" applyFill="1" applyBorder="1" applyAlignment="1">
      <alignment horizontal="center" vertical="center" textRotation="90"/>
    </xf>
    <xf numFmtId="0" fontId="1" fillId="3" borderId="26" xfId="0" applyFont="1" applyFill="1" applyBorder="1" applyAlignment="1">
      <alignment horizontal="center" vertical="center" textRotation="90"/>
    </xf>
    <xf numFmtId="0" fontId="1" fillId="3" borderId="27" xfId="0" applyFont="1" applyFill="1" applyBorder="1" applyAlignment="1">
      <alignment horizontal="center" vertical="center" textRotation="90"/>
    </xf>
    <xf numFmtId="0" fontId="0" fillId="0" borderId="11" xfId="0" applyBorder="1" applyAlignment="1">
      <alignment horizontal="left" vertical="top"/>
    </xf>
    <xf numFmtId="0" fontId="3" fillId="4" borderId="18" xfId="0" applyFont="1" applyFill="1" applyBorder="1" applyAlignment="1">
      <alignment horizontal="center" vertical="center"/>
    </xf>
    <xf numFmtId="0" fontId="3" fillId="4" borderId="19" xfId="0" applyFont="1" applyFill="1" applyBorder="1" applyAlignment="1">
      <alignment horizontal="center" vertical="center"/>
    </xf>
    <xf numFmtId="0" fontId="3" fillId="4" borderId="20" xfId="0" applyFont="1" applyFill="1" applyBorder="1" applyAlignment="1">
      <alignment horizontal="center" vertical="center"/>
    </xf>
    <xf numFmtId="49" fontId="0" fillId="0" borderId="13" xfId="0" applyNumberFormat="1" applyBorder="1" applyAlignment="1">
      <alignment horizontal="left" vertical="top"/>
    </xf>
    <xf numFmtId="49" fontId="0" fillId="0" borderId="12" xfId="0" applyNumberFormat="1" applyBorder="1" applyAlignment="1">
      <alignment horizontal="left" vertical="top"/>
    </xf>
    <xf numFmtId="0" fontId="0" fillId="0" borderId="13" xfId="0" applyBorder="1" applyAlignment="1">
      <alignment horizontal="left" vertical="top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2" borderId="16" xfId="0" applyFill="1" applyBorder="1" applyAlignment="1">
      <alignment horizontal="center"/>
    </xf>
    <xf numFmtId="0" fontId="0" fillId="2" borderId="17" xfId="0" applyFill="1" applyBorder="1" applyAlignment="1">
      <alignment horizontal="center"/>
    </xf>
    <xf numFmtId="0" fontId="1" fillId="3" borderId="4" xfId="0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left" vertical="center"/>
    </xf>
    <xf numFmtId="0" fontId="0" fillId="3" borderId="12" xfId="0" applyFill="1" applyBorder="1" applyAlignment="1">
      <alignment horizontal="left" vertical="center"/>
    </xf>
    <xf numFmtId="14" fontId="0" fillId="0" borderId="13" xfId="0" applyNumberFormat="1" applyBorder="1" applyAlignment="1">
      <alignment horizontal="left" vertical="top"/>
    </xf>
    <xf numFmtId="14" fontId="0" fillId="0" borderId="12" xfId="0" applyNumberFormat="1" applyBorder="1" applyAlignment="1">
      <alignment horizontal="left" vertical="top"/>
    </xf>
    <xf numFmtId="164" fontId="21" fillId="4" borderId="34" xfId="0" applyNumberFormat="1" applyFont="1" applyFill="1" applyBorder="1" applyAlignment="1">
      <alignment horizontal="center" vertical="center" wrapText="1"/>
    </xf>
    <xf numFmtId="164" fontId="21" fillId="4" borderId="35" xfId="0" applyNumberFormat="1" applyFont="1" applyFill="1" applyBorder="1" applyAlignment="1">
      <alignment horizontal="center" vertical="center" wrapText="1"/>
    </xf>
    <xf numFmtId="164" fontId="21" fillId="4" borderId="36" xfId="0" applyNumberFormat="1" applyFont="1" applyFill="1" applyBorder="1" applyAlignment="1">
      <alignment horizontal="center" vertical="center" wrapText="1"/>
    </xf>
    <xf numFmtId="0" fontId="7" fillId="8" borderId="34" xfId="0" applyFont="1" applyFill="1" applyBorder="1" applyAlignment="1">
      <alignment horizontal="center" vertical="center"/>
    </xf>
    <xf numFmtId="0" fontId="7" fillId="8" borderId="35" xfId="0" applyFont="1" applyFill="1" applyBorder="1" applyAlignment="1">
      <alignment horizontal="center" vertical="center"/>
    </xf>
    <xf numFmtId="0" fontId="7" fillId="8" borderId="36" xfId="0" applyFont="1" applyFill="1" applyBorder="1" applyAlignment="1">
      <alignment horizontal="center" vertical="center"/>
    </xf>
    <xf numFmtId="0" fontId="8" fillId="4" borderId="34" xfId="0" applyFont="1" applyFill="1" applyBorder="1" applyAlignment="1">
      <alignment horizontal="center" vertical="center" wrapText="1"/>
    </xf>
    <xf numFmtId="0" fontId="8" fillId="4" borderId="35" xfId="0" applyFont="1" applyFill="1" applyBorder="1" applyAlignment="1">
      <alignment horizontal="center" vertical="center" wrapText="1"/>
    </xf>
    <xf numFmtId="0" fontId="8" fillId="4" borderId="36" xfId="0" applyFont="1" applyFill="1" applyBorder="1" applyAlignment="1">
      <alignment horizontal="center" vertical="center" wrapText="1"/>
    </xf>
    <xf numFmtId="0" fontId="8" fillId="4" borderId="34" xfId="0" quotePrefix="1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12" fillId="0" borderId="4" xfId="0" applyFont="1" applyBorder="1" applyAlignment="1">
      <alignment horizontal="left" vertical="center" wrapText="1"/>
    </xf>
    <xf numFmtId="0" fontId="12" fillId="0" borderId="5" xfId="0" applyFont="1" applyBorder="1" applyAlignment="1">
      <alignment horizontal="left" vertical="center" wrapText="1"/>
    </xf>
    <xf numFmtId="0" fontId="12" fillId="0" borderId="6" xfId="0" applyFont="1" applyBorder="1" applyAlignment="1">
      <alignment horizontal="left" vertical="center" wrapText="1"/>
    </xf>
    <xf numFmtId="0" fontId="13" fillId="0" borderId="1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13" fillId="0" borderId="15" xfId="0" applyFont="1" applyBorder="1" applyAlignment="1">
      <alignment horizontal="center" vertical="center"/>
    </xf>
    <xf numFmtId="0" fontId="13" fillId="0" borderId="17" xfId="0" applyFont="1" applyBorder="1" applyAlignment="1">
      <alignment horizontal="center" vertical="center"/>
    </xf>
    <xf numFmtId="0" fontId="11" fillId="7" borderId="50" xfId="0" applyFont="1" applyFill="1" applyBorder="1" applyAlignment="1">
      <alignment horizontal="center" vertical="center"/>
    </xf>
    <xf numFmtId="0" fontId="11" fillId="7" borderId="51" xfId="0" applyFont="1" applyFill="1" applyBorder="1" applyAlignment="1">
      <alignment horizontal="center" vertical="center"/>
    </xf>
    <xf numFmtId="0" fontId="11" fillId="7" borderId="52" xfId="0" applyFont="1" applyFill="1" applyBorder="1" applyAlignment="1">
      <alignment horizontal="center" vertical="center"/>
    </xf>
    <xf numFmtId="0" fontId="17" fillId="0" borderId="53" xfId="0" applyFont="1" applyBorder="1" applyAlignment="1">
      <alignment horizontal="center" vertical="center" wrapText="1"/>
    </xf>
    <xf numFmtId="0" fontId="17" fillId="0" borderId="54" xfId="0" applyFont="1" applyBorder="1" applyAlignment="1">
      <alignment horizontal="center" vertical="center" wrapText="1"/>
    </xf>
    <xf numFmtId="0" fontId="17" fillId="0" borderId="55" xfId="0" applyFont="1" applyBorder="1" applyAlignment="1">
      <alignment horizontal="center" vertical="center" wrapText="1"/>
    </xf>
    <xf numFmtId="0" fontId="18" fillId="0" borderId="56" xfId="0" applyFont="1" applyBorder="1" applyAlignment="1">
      <alignment horizontal="center" vertical="center" wrapText="1"/>
    </xf>
    <xf numFmtId="0" fontId="18" fillId="0" borderId="11" xfId="0" applyFont="1" applyBorder="1" applyAlignment="1">
      <alignment horizontal="center" vertical="center" wrapText="1"/>
    </xf>
    <xf numFmtId="0" fontId="16" fillId="0" borderId="25" xfId="0" applyFont="1" applyBorder="1" applyAlignment="1">
      <alignment horizontal="center" vertical="center"/>
    </xf>
    <xf numFmtId="0" fontId="16" fillId="0" borderId="26" xfId="0" applyFont="1" applyBorder="1" applyAlignment="1">
      <alignment horizontal="center" vertical="center"/>
    </xf>
    <xf numFmtId="0" fontId="16" fillId="0" borderId="2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 wrapText="1"/>
    </xf>
    <xf numFmtId="0" fontId="14" fillId="0" borderId="58" xfId="0" applyFont="1" applyBorder="1" applyAlignment="1">
      <alignment horizontal="center" vertical="center" wrapText="1"/>
    </xf>
    <xf numFmtId="0" fontId="14" fillId="0" borderId="59" xfId="0" applyFont="1" applyBorder="1" applyAlignment="1">
      <alignment horizontal="center" vertical="center" wrapText="1"/>
    </xf>
    <xf numFmtId="0" fontId="14" fillId="0" borderId="60" xfId="0" applyFont="1" applyBorder="1" applyAlignment="1">
      <alignment horizontal="center" vertical="center" wrapText="1"/>
    </xf>
    <xf numFmtId="9" fontId="3" fillId="4" borderId="64" xfId="0" applyNumberFormat="1" applyFont="1" applyFill="1" applyBorder="1" applyAlignment="1">
      <alignment horizontal="center" vertical="center"/>
    </xf>
    <xf numFmtId="9" fontId="3" fillId="4" borderId="65" xfId="0" applyNumberFormat="1" applyFont="1" applyFill="1" applyBorder="1" applyAlignment="1">
      <alignment horizontal="center" vertical="center"/>
    </xf>
    <xf numFmtId="0" fontId="24" fillId="9" borderId="0" xfId="0" applyFont="1" applyFill="1" applyAlignment="1">
      <alignment horizontal="left"/>
    </xf>
    <xf numFmtId="0" fontId="24" fillId="9" borderId="8" xfId="0" applyFont="1" applyFill="1" applyBorder="1" applyAlignment="1">
      <alignment horizontal="left"/>
    </xf>
    <xf numFmtId="0" fontId="24" fillId="5" borderId="0" xfId="0" applyFont="1" applyFill="1" applyAlignment="1">
      <alignment horizontal="left"/>
    </xf>
    <xf numFmtId="0" fontId="24" fillId="5" borderId="8" xfId="0" applyFont="1" applyFill="1" applyBorder="1" applyAlignment="1">
      <alignment horizontal="left"/>
    </xf>
    <xf numFmtId="0" fontId="24" fillId="5" borderId="16" xfId="0" applyFont="1" applyFill="1" applyBorder="1" applyAlignment="1">
      <alignment horizontal="left"/>
    </xf>
    <xf numFmtId="0" fontId="24" fillId="5" borderId="17" xfId="0" applyFont="1" applyFill="1" applyBorder="1" applyAlignment="1">
      <alignment horizontal="left"/>
    </xf>
    <xf numFmtId="0" fontId="4" fillId="7" borderId="1" xfId="0" applyFont="1" applyFill="1" applyBorder="1" applyAlignment="1">
      <alignment horizontal="center" vertical="center" wrapText="1"/>
    </xf>
    <xf numFmtId="0" fontId="4" fillId="7" borderId="3" xfId="0" applyFont="1" applyFill="1" applyBorder="1" applyAlignment="1">
      <alignment horizontal="center" vertical="center" wrapText="1"/>
    </xf>
    <xf numFmtId="0" fontId="4" fillId="7" borderId="7" xfId="0" applyFont="1" applyFill="1" applyBorder="1" applyAlignment="1">
      <alignment horizontal="center" vertical="center" wrapText="1"/>
    </xf>
    <xf numFmtId="0" fontId="4" fillId="7" borderId="8" xfId="0" applyFont="1" applyFill="1" applyBorder="1" applyAlignment="1">
      <alignment horizontal="center" vertical="center" wrapText="1"/>
    </xf>
    <xf numFmtId="0" fontId="25" fillId="13" borderId="7" xfId="0" applyFont="1" applyFill="1" applyBorder="1" applyAlignment="1">
      <alignment horizontal="center" vertical="center" wrapText="1"/>
    </xf>
    <xf numFmtId="0" fontId="25" fillId="13" borderId="8" xfId="0" applyFont="1" applyFill="1" applyBorder="1" applyAlignment="1">
      <alignment horizontal="center" vertical="center" wrapText="1"/>
    </xf>
    <xf numFmtId="0" fontId="25" fillId="13" borderId="15" xfId="0" applyFont="1" applyFill="1" applyBorder="1" applyAlignment="1">
      <alignment horizontal="center" vertical="center" wrapText="1"/>
    </xf>
    <xf numFmtId="0" fontId="25" fillId="13" borderId="17" xfId="0" applyFont="1" applyFill="1" applyBorder="1" applyAlignment="1">
      <alignment horizontal="center" vertical="center" wrapText="1"/>
    </xf>
    <xf numFmtId="0" fontId="26" fillId="16" borderId="7" xfId="0" applyFont="1" applyFill="1" applyBorder="1" applyAlignment="1">
      <alignment horizontal="center" vertical="center" wrapText="1"/>
    </xf>
    <xf numFmtId="0" fontId="26" fillId="16" borderId="8" xfId="0" applyFont="1" applyFill="1" applyBorder="1" applyAlignment="1">
      <alignment horizontal="center" vertical="center" wrapText="1"/>
    </xf>
    <xf numFmtId="0" fontId="26" fillId="16" borderId="15" xfId="0" applyFont="1" applyFill="1" applyBorder="1" applyAlignment="1">
      <alignment horizontal="center" vertical="center" wrapText="1"/>
    </xf>
    <xf numFmtId="0" fontId="26" fillId="16" borderId="17" xfId="0" applyFont="1" applyFill="1" applyBorder="1" applyAlignment="1">
      <alignment horizontal="center" vertical="center" wrapText="1"/>
    </xf>
    <xf numFmtId="0" fontId="26" fillId="14" borderId="7" xfId="0" applyFont="1" applyFill="1" applyBorder="1" applyAlignment="1">
      <alignment horizontal="center" vertical="center" wrapText="1"/>
    </xf>
    <xf numFmtId="0" fontId="26" fillId="14" borderId="8" xfId="0" applyFont="1" applyFill="1" applyBorder="1" applyAlignment="1">
      <alignment horizontal="center" vertical="center" wrapText="1"/>
    </xf>
    <xf numFmtId="0" fontId="26" fillId="14" borderId="15" xfId="0" applyFont="1" applyFill="1" applyBorder="1" applyAlignment="1">
      <alignment horizontal="center" vertical="center" wrapText="1"/>
    </xf>
    <xf numFmtId="0" fontId="26" fillId="14" borderId="17" xfId="0" applyFont="1" applyFill="1" applyBorder="1" applyAlignment="1">
      <alignment horizontal="center" vertical="center" wrapText="1"/>
    </xf>
    <xf numFmtId="0" fontId="26" fillId="15" borderId="7" xfId="0" applyFont="1" applyFill="1" applyBorder="1" applyAlignment="1">
      <alignment horizontal="center" vertical="center" wrapText="1"/>
    </xf>
    <xf numFmtId="0" fontId="26" fillId="15" borderId="8" xfId="0" applyFont="1" applyFill="1" applyBorder="1" applyAlignment="1">
      <alignment horizontal="center" vertical="center" wrapText="1"/>
    </xf>
    <xf numFmtId="0" fontId="26" fillId="15" borderId="15" xfId="0" applyFont="1" applyFill="1" applyBorder="1" applyAlignment="1">
      <alignment horizontal="center" vertical="center" wrapText="1"/>
    </xf>
    <xf numFmtId="0" fontId="26" fillId="15" borderId="17" xfId="0" applyFont="1" applyFill="1" applyBorder="1" applyAlignment="1">
      <alignment horizontal="center" vertical="center" wrapText="1"/>
    </xf>
    <xf numFmtId="0" fontId="26" fillId="11" borderId="7" xfId="0" applyFont="1" applyFill="1" applyBorder="1" applyAlignment="1">
      <alignment horizontal="center" vertical="center" wrapText="1"/>
    </xf>
    <xf numFmtId="0" fontId="26" fillId="11" borderId="8" xfId="0" applyFont="1" applyFill="1" applyBorder="1" applyAlignment="1">
      <alignment horizontal="center" vertical="center" wrapText="1"/>
    </xf>
    <xf numFmtId="0" fontId="26" fillId="11" borderId="15" xfId="0" applyFont="1" applyFill="1" applyBorder="1" applyAlignment="1">
      <alignment horizontal="center" vertical="center" wrapText="1"/>
    </xf>
    <xf numFmtId="0" fontId="26" fillId="11" borderId="17" xfId="0" applyFont="1" applyFill="1" applyBorder="1" applyAlignment="1">
      <alignment horizontal="center" vertical="center" wrapText="1"/>
    </xf>
    <xf numFmtId="0" fontId="25" fillId="12" borderId="7" xfId="0" applyFont="1" applyFill="1" applyBorder="1" applyAlignment="1">
      <alignment horizontal="center" vertical="center" wrapText="1"/>
    </xf>
    <xf numFmtId="0" fontId="25" fillId="12" borderId="8" xfId="0" applyFont="1" applyFill="1" applyBorder="1" applyAlignment="1">
      <alignment horizontal="center" vertical="center" wrapText="1"/>
    </xf>
    <xf numFmtId="0" fontId="25" fillId="12" borderId="15" xfId="0" applyFont="1" applyFill="1" applyBorder="1" applyAlignment="1">
      <alignment horizontal="center" vertical="center" wrapText="1"/>
    </xf>
    <xf numFmtId="0" fontId="25" fillId="12" borderId="17" xfId="0" applyFont="1" applyFill="1" applyBorder="1" applyAlignment="1">
      <alignment horizontal="center" vertical="center" wrapText="1"/>
    </xf>
    <xf numFmtId="0" fontId="26" fillId="10" borderId="7" xfId="0" applyFont="1" applyFill="1" applyBorder="1" applyAlignment="1">
      <alignment horizontal="center" vertical="center" wrapText="1"/>
    </xf>
    <xf numFmtId="0" fontId="26" fillId="10" borderId="8" xfId="0" applyFont="1" applyFill="1" applyBorder="1" applyAlignment="1">
      <alignment horizontal="center" vertical="center" wrapText="1"/>
    </xf>
    <xf numFmtId="0" fontId="26" fillId="10" borderId="15" xfId="0" applyFont="1" applyFill="1" applyBorder="1" applyAlignment="1">
      <alignment horizontal="center" vertical="center" wrapText="1"/>
    </xf>
    <xf numFmtId="0" fontId="26" fillId="10" borderId="17" xfId="0" applyFont="1" applyFill="1" applyBorder="1" applyAlignment="1">
      <alignment horizontal="center" vertical="center" wrapText="1"/>
    </xf>
  </cellXfs>
  <cellStyles count="2">
    <cellStyle name="Normal" xfId="0" builtinId="0"/>
    <cellStyle name="Porcentagem" xfId="1" builtinId="5"/>
  </cellStyles>
  <dxfs count="68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minor"/>
      </font>
      <fill>
        <patternFill patternType="solid">
          <fgColor theme="1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border diagonalUp="0" diagonalDown="0">
        <left style="thin">
          <color theme="0"/>
        </left>
        <right/>
        <vertical style="thin">
          <color theme="0"/>
        </vertical>
      </border>
    </dxf>
    <dxf>
      <border diagonalUp="0" diagonalDown="0">
        <left style="thin">
          <color theme="0"/>
        </left>
        <right style="thin">
          <color theme="0"/>
        </right>
        <vertical style="thin">
          <color theme="0"/>
        </vertical>
      </border>
    </dxf>
    <dxf>
      <border diagonalUp="0" diagonalDown="0">
        <left style="thin">
          <color theme="0"/>
        </left>
        <right style="thin">
          <color theme="0"/>
        </right>
        <vertical style="thin">
          <color theme="0"/>
        </vertical>
      </border>
    </dxf>
    <dxf>
      <border diagonalUp="0" diagonalDown="0">
        <left/>
        <right style="thin">
          <color theme="0"/>
        </right>
        <vertical style="thin">
          <color theme="0"/>
        </vertical>
      </border>
    </dxf>
    <dxf>
      <border outline="0">
        <top style="thin">
          <color theme="0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minor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b/>
      </font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gency FB"/>
        <family val="2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b/>
      </font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gency FB"/>
        <family val="2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</dxf>
    <dxf>
      <border diagonalUp="0" diagonalDown="0" outline="0">
        <left style="thin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gency FB"/>
        <family val="2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gency FB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border diagonalUp="0" diagonalDown="0">
        <left/>
        <right style="thin">
          <color indexed="64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border diagonalUp="0" diagonalDown="0">
        <left style="thin">
          <color indexed="64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gency FB"/>
        <family val="2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0000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7620</xdr:colOff>
      <xdr:row>41</xdr:row>
      <xdr:rowOff>0</xdr:rowOff>
    </xdr:from>
    <xdr:to>
      <xdr:col>16</xdr:col>
      <xdr:colOff>45720</xdr:colOff>
      <xdr:row>49</xdr:row>
      <xdr:rowOff>182880</xdr:rowOff>
    </xdr:to>
    <xdr:sp macro="[0]!DiceRoll" textlink="">
      <xdr:nvSpPr>
        <xdr:cNvPr id="3" name="Retângulo 2">
          <a:extLst>
            <a:ext uri="{FF2B5EF4-FFF2-40B4-BE49-F238E27FC236}">
              <a16:creationId xmlns:a16="http://schemas.microsoft.com/office/drawing/2014/main" id="{00504158-F9C4-6392-B78C-59EA2F03D6F2}"/>
            </a:ext>
          </a:extLst>
        </xdr:cNvPr>
        <xdr:cNvSpPr/>
      </xdr:nvSpPr>
      <xdr:spPr>
        <a:xfrm>
          <a:off x="12565380" y="8084820"/>
          <a:ext cx="1295400" cy="1744980"/>
        </a:xfrm>
        <a:prstGeom prst="rect">
          <a:avLst/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3200">
              <a:latin typeface="Agency FB" panose="020B0503020202020204" pitchFamily="34" charset="0"/>
            </a:rPr>
            <a:t>Rolar</a:t>
          </a:r>
          <a:r>
            <a:rPr lang="pt-BR" sz="3200" baseline="0">
              <a:latin typeface="Agency FB" panose="020B0503020202020204" pitchFamily="34" charset="0"/>
            </a:rPr>
            <a:t> dado</a:t>
          </a:r>
          <a:endParaRPr lang="pt-BR" sz="3200">
            <a:latin typeface="Agency FB" panose="020B0503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2</xdr:row>
      <xdr:rowOff>30480</xdr:rowOff>
    </xdr:from>
    <xdr:to>
      <xdr:col>11</xdr:col>
      <xdr:colOff>0</xdr:colOff>
      <xdr:row>7</xdr:row>
      <xdr:rowOff>129540</xdr:rowOff>
    </xdr:to>
    <xdr:sp macro="" textlink="">
      <xdr:nvSpPr>
        <xdr:cNvPr id="2" name="Seta: para a Direita 1">
          <a:extLst>
            <a:ext uri="{FF2B5EF4-FFF2-40B4-BE49-F238E27FC236}">
              <a16:creationId xmlns:a16="http://schemas.microsoft.com/office/drawing/2014/main" id="{4DD43B3E-2478-B9C5-BEAD-0AA2CD6806CD}"/>
            </a:ext>
          </a:extLst>
        </xdr:cNvPr>
        <xdr:cNvSpPr/>
      </xdr:nvSpPr>
      <xdr:spPr>
        <a:xfrm>
          <a:off x="10972800" y="533400"/>
          <a:ext cx="609600" cy="1051560"/>
        </a:xfrm>
        <a:prstGeom prst="righ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13</xdr:col>
      <xdr:colOff>0</xdr:colOff>
      <xdr:row>2</xdr:row>
      <xdr:rowOff>15240</xdr:rowOff>
    </xdr:from>
    <xdr:to>
      <xdr:col>14</xdr:col>
      <xdr:colOff>0</xdr:colOff>
      <xdr:row>7</xdr:row>
      <xdr:rowOff>114300</xdr:rowOff>
    </xdr:to>
    <xdr:sp macro="" textlink="">
      <xdr:nvSpPr>
        <xdr:cNvPr id="3" name="Seta: para a Direita 2">
          <a:extLst>
            <a:ext uri="{FF2B5EF4-FFF2-40B4-BE49-F238E27FC236}">
              <a16:creationId xmlns:a16="http://schemas.microsoft.com/office/drawing/2014/main" id="{7BB69CFD-9CED-4C7D-BC1A-BF45719419FE}"/>
            </a:ext>
          </a:extLst>
        </xdr:cNvPr>
        <xdr:cNvSpPr/>
      </xdr:nvSpPr>
      <xdr:spPr>
        <a:xfrm>
          <a:off x="12801600" y="518160"/>
          <a:ext cx="609600" cy="1051560"/>
        </a:xfrm>
        <a:prstGeom prst="righ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14</xdr:col>
      <xdr:colOff>114300</xdr:colOff>
      <xdr:row>9</xdr:row>
      <xdr:rowOff>7620</xdr:rowOff>
    </xdr:from>
    <xdr:to>
      <xdr:col>15</xdr:col>
      <xdr:colOff>556260</xdr:colOff>
      <xdr:row>12</xdr:row>
      <xdr:rowOff>7620</xdr:rowOff>
    </xdr:to>
    <xdr:sp macro="" textlink="">
      <xdr:nvSpPr>
        <xdr:cNvPr id="4" name="Seta: para a Direita 3">
          <a:extLst>
            <a:ext uri="{FF2B5EF4-FFF2-40B4-BE49-F238E27FC236}">
              <a16:creationId xmlns:a16="http://schemas.microsoft.com/office/drawing/2014/main" id="{0DA64747-5120-4F34-9CA0-0B051F45CD31}"/>
            </a:ext>
          </a:extLst>
        </xdr:cNvPr>
        <xdr:cNvSpPr/>
      </xdr:nvSpPr>
      <xdr:spPr>
        <a:xfrm rot="5400000">
          <a:off x="13765530" y="1604010"/>
          <a:ext cx="571500" cy="1051560"/>
        </a:xfrm>
        <a:prstGeom prst="righ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91440</xdr:colOff>
      <xdr:row>9</xdr:row>
      <xdr:rowOff>7620</xdr:rowOff>
    </xdr:from>
    <xdr:to>
      <xdr:col>9</xdr:col>
      <xdr:colOff>533400</xdr:colOff>
      <xdr:row>11</xdr:row>
      <xdr:rowOff>182880</xdr:rowOff>
    </xdr:to>
    <xdr:sp macro="" textlink="">
      <xdr:nvSpPr>
        <xdr:cNvPr id="5" name="Seta: para a Direita 4">
          <a:extLst>
            <a:ext uri="{FF2B5EF4-FFF2-40B4-BE49-F238E27FC236}">
              <a16:creationId xmlns:a16="http://schemas.microsoft.com/office/drawing/2014/main" id="{3F7D32CA-B076-4271-9EA9-34126771FE1A}"/>
            </a:ext>
          </a:extLst>
        </xdr:cNvPr>
        <xdr:cNvSpPr/>
      </xdr:nvSpPr>
      <xdr:spPr>
        <a:xfrm rot="16200000">
          <a:off x="10092690" y="1596390"/>
          <a:ext cx="556260" cy="1051560"/>
        </a:xfrm>
        <a:prstGeom prst="righ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13</xdr:col>
      <xdr:colOff>4830</xdr:colOff>
      <xdr:row>19</xdr:row>
      <xdr:rowOff>162772</xdr:rowOff>
    </xdr:from>
    <xdr:to>
      <xdr:col>14</xdr:col>
      <xdr:colOff>173807</xdr:colOff>
      <xdr:row>25</xdr:row>
      <xdr:rowOff>56092</xdr:rowOff>
    </xdr:to>
    <xdr:sp macro="" textlink="">
      <xdr:nvSpPr>
        <xdr:cNvPr id="6" name="Seta: para a Direita 5">
          <a:extLst>
            <a:ext uri="{FF2B5EF4-FFF2-40B4-BE49-F238E27FC236}">
              <a16:creationId xmlns:a16="http://schemas.microsoft.com/office/drawing/2014/main" id="{52266B27-20E0-4698-AC73-6CDCA7112C99}"/>
            </a:ext>
          </a:extLst>
        </xdr:cNvPr>
        <xdr:cNvSpPr/>
      </xdr:nvSpPr>
      <xdr:spPr>
        <a:xfrm rot="9042019">
          <a:off x="12806430" y="3904192"/>
          <a:ext cx="778577" cy="1051560"/>
        </a:xfrm>
        <a:prstGeom prst="righ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168307</xdr:colOff>
      <xdr:row>19</xdr:row>
      <xdr:rowOff>189830</xdr:rowOff>
    </xdr:from>
    <xdr:to>
      <xdr:col>11</xdr:col>
      <xdr:colOff>667</xdr:colOff>
      <xdr:row>23</xdr:row>
      <xdr:rowOff>175927</xdr:rowOff>
    </xdr:to>
    <xdr:sp macro="" textlink="">
      <xdr:nvSpPr>
        <xdr:cNvPr id="7" name="Seta: para a Direita 6">
          <a:extLst>
            <a:ext uri="{FF2B5EF4-FFF2-40B4-BE49-F238E27FC236}">
              <a16:creationId xmlns:a16="http://schemas.microsoft.com/office/drawing/2014/main" id="{CE7F706A-4A94-4611-8266-4462D20128FE}"/>
            </a:ext>
          </a:extLst>
        </xdr:cNvPr>
        <xdr:cNvSpPr/>
      </xdr:nvSpPr>
      <xdr:spPr>
        <a:xfrm rot="13678648">
          <a:off x="10667998" y="3794759"/>
          <a:ext cx="778577" cy="1051560"/>
        </a:xfrm>
        <a:prstGeom prst="righ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32B228-DF7A-40B7-BBD8-049CF876D81F}" name="Poderia" displayName="Poderia" ref="B25:D40" totalsRowShown="0" headerRowDxfId="67">
  <tableColumns count="3">
    <tableColumn id="1" xr3:uid="{3767BBB3-A6D1-480E-9271-BCC883609CE1}" name="Nome" dataDxfId="66"/>
    <tableColumn id="2" xr3:uid="{3FD16391-F815-4952-85E0-843E2305DB1B}" name="%" dataDxfId="65"/>
    <tableColumn id="3" xr3:uid="{72EC237D-FFF6-4161-948D-55EB8BD045BB}" name="Tipo" dataDxfId="64"/>
  </tableColumns>
  <tableStyleInfo name="TableStyleMedium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E7C5081-EF75-4685-A76A-26105A6390AD}" name="Atributos" displayName="Atributos" ref="R2:V30" totalsRowShown="0" headerRowDxfId="63" dataDxfId="62" tableBorderDxfId="61">
  <autoFilter ref="R2:V30" xr:uid="{EE7C5081-EF75-4685-A76A-26105A6390AD}"/>
  <sortState xmlns:xlrd2="http://schemas.microsoft.com/office/spreadsheetml/2017/richdata2" ref="R3:V30">
    <sortCondition ref="R2:R30"/>
  </sortState>
  <tableColumns count="5">
    <tableColumn id="1" xr3:uid="{C186A69A-B026-460D-8DA2-0995B10DC812}" name="Perícias" dataDxfId="60"/>
    <tableColumn id="2" xr3:uid="{3EDDADCA-B1EE-4F05-B86F-B529301AAFD8}" name="Atri. Base" dataDxfId="59"/>
    <tableColumn id="3" xr3:uid="{114A513D-AD9B-4797-9928-0CCBD122449F}" name="Treinamento" dataDxfId="58"/>
    <tableColumn id="4" xr3:uid="{FF8E07CB-03EE-4C92-8286-188819AC6882}" name="Outros" dataDxfId="57"/>
    <tableColumn id="5" xr3:uid="{17BCB045-0717-4D3A-B9ED-F7B9F79300DA}" name="Total" dataDxfId="56">
      <calculatedColumnFormula>VLOOKUP(S3,$L$3:$P$9,5,FALSE)+IF(Atributos[[#This Row],[Treinamento]] = "Leigo",0,IF(Atributos[[#This Row],[Treinamento]]="Calejado",2,IF(Atributos[[#This Row],[Treinamento]]="Experiente",3,4)))+Atributos[[#This Row],[Outros]]</calculatedColumnFormula>
    </tableColumn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A623FC8-E206-4469-9E12-D1035B7114E3}" name="HAB_Poderes" displayName="HAB_Poderes" ref="B43:D63" totalsRowShown="0" headerRowDxfId="55">
  <tableColumns count="3">
    <tableColumn id="1" xr3:uid="{5BD18274-79E4-4A26-AF5D-108D580357F7}" name="Nome" dataDxfId="54"/>
    <tableColumn id="2" xr3:uid="{8530D07C-28D7-4691-97E5-1179DD0073BA}" name="%" dataDxfId="53"/>
    <tableColumn id="3" xr3:uid="{9A0BF05D-4A7C-40FB-AD86-B0C747CE615D}" name="Estrelas" dataDxfId="52"/>
  </tableColumns>
  <tableStyleInfo name="TableStyleMedium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C9C6718-2C8C-47C6-937B-3447253EC122}" name="Resistencia_Elemental" displayName="Resistencia_Elemental" ref="F33:H40" totalsRowShown="0" headerRowDxfId="51" dataDxfId="49" headerRowBorderDxfId="50">
  <sortState xmlns:xlrd2="http://schemas.microsoft.com/office/spreadsheetml/2017/richdata2" ref="F34:H40">
    <sortCondition ref="F33:F40"/>
  </sortState>
  <tableColumns count="3">
    <tableColumn id="1" xr3:uid="{CA69B64E-9737-4A20-BD6B-278152010120}" name="Elemento" dataDxfId="48"/>
    <tableColumn id="2" xr3:uid="{9197CC62-8E5B-4882-8526-2A896EC86285}" name="RD (n°)" dataDxfId="47"/>
    <tableColumn id="3" xr3:uid="{9BA44F5D-7E5D-4F97-B691-02C97FB15817}" name="Aplicável?" dataDxfId="46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0D5CB7A-BFAB-4EAD-811E-92198B288BF8}" name="Resistencia_Fisico" displayName="Resistencia_Fisico" ref="F42:H50" totalsRowShown="0" headerRowDxfId="45" dataDxfId="43" headerRowBorderDxfId="44">
  <sortState xmlns:xlrd2="http://schemas.microsoft.com/office/spreadsheetml/2017/richdata2" ref="F43:H50">
    <sortCondition ref="F42:F50"/>
  </sortState>
  <tableColumns count="3">
    <tableColumn id="1" xr3:uid="{B2D1D1FB-7356-4551-9C72-2FE7527353C0}" name="Físico" dataDxfId="42"/>
    <tableColumn id="2" xr3:uid="{BE80BFF5-4F04-4575-BBCB-4AE8EFB3DD70}" name="RD (n°)" dataDxfId="41"/>
    <tableColumn id="3" xr3:uid="{CC4856CA-5530-4049-9546-83194BB47BB1}" name="Aplicável?" dataDxfId="40"/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5426525-8DC8-4939-9196-D04BCE60B817}" name="Tabela10" displayName="Tabela10" ref="A1:B37" totalsRowShown="0">
  <autoFilter ref="A1:B37" xr:uid="{F5426525-8DC8-4939-9196-D04BCE60B817}"/>
  <tableColumns count="2">
    <tableColumn id="1" xr3:uid="{BC869B94-4FC3-4140-9A4F-5E9430B83044}" name="Classe"/>
    <tableColumn id="2" xr3:uid="{08604B3D-E709-4B57-9259-B14CBFF664E7}" name="Subclasse"/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8BA5AE-F6FC-4581-961A-E1B9FBB5106D}" name="Armamento" displayName="Armamento" ref="D2:L4" totalsRowShown="0" headerRowDxfId="39" dataDxfId="38" tableBorderDxfId="37">
  <tableColumns count="9">
    <tableColumn id="1" xr3:uid="{B9476553-8B3B-4976-9B92-36144093A260}" name="Nome" dataDxfId="36"/>
    <tableColumn id="2" xr3:uid="{924563B1-89C5-4CD2-B71B-6068611A15FF}" name="Custo" dataDxfId="35"/>
    <tableColumn id="3" xr3:uid="{23B78383-4A4E-46E2-B4CF-F312114B5AF0}" name="Dano" dataDxfId="34"/>
    <tableColumn id="4" xr3:uid="{779E05AA-6769-43BA-8060-59E359EA0394}" name="Crítico" dataDxfId="33"/>
    <tableColumn id="5" xr3:uid="{DE371EB2-DF01-4539-AA05-A4825DEC7F0A}" name="Alcance" dataDxfId="32"/>
    <tableColumn id="6" xr3:uid="{28A6C3FF-F7C5-424C-B30E-4C482121AB52}" name="Tipo" dataDxfId="31"/>
    <tableColumn id="7" xr3:uid="{9BADFE80-A2FA-4AFF-9AE1-C064D04684F7}" name="Recarga" dataDxfId="30"/>
    <tableColumn id="8" xr3:uid="{A5ED8C47-3AC0-4096-A96A-37F9E4AFDCCE}" name="Espaço" dataDxfId="29"/>
    <tableColumn id="9" xr3:uid="{3245E572-A12F-4F1E-8949-69F809B1A61A}" name="Especial" dataDxfId="28"/>
  </tableColumns>
  <tableStyleInfo name="TableStyleMedium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3B89C06-CEF3-4CA5-A361-0B689C7E51CD}" name="Defesa" displayName="Defesa" ref="I10:L12" totalsRowShown="0" headerRowDxfId="27" headerRowBorderDxfId="26" tableBorderDxfId="25" totalsRowBorderDxfId="24">
  <tableColumns count="4">
    <tableColumn id="1" xr3:uid="{CDDB6EC5-5DB0-4573-9B45-1AAA98CE87BC}" name="Armadura" dataDxfId="23"/>
    <tableColumn id="2" xr3:uid="{8DD70B5D-BB47-417D-9E2A-ED3FCC0F4AB2}" name="Defesa" dataDxfId="22"/>
    <tableColumn id="3" xr3:uid="{D3B4425E-E0B4-4FBF-B52F-281854E5405D}" name="Custo" dataDxfId="21"/>
    <tableColumn id="4" xr3:uid="{F2761F52-8CDE-4A5E-8634-23BCF6216B8F}" name="Espaço" dataDxfId="20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7B87882-433D-45E0-AD43-190E9B19CDD8}" name="Acessórios" displayName="Acessórios" ref="D21:F31" totalsRowShown="0" headerRowDxfId="19" dataDxfId="17" headerRowBorderDxfId="18" tableBorderDxfId="16">
  <tableColumns count="3">
    <tableColumn id="1" xr3:uid="{82D2FB4B-679D-41BC-88E9-C3D0B81136C5}" name="Acessórios" dataDxfId="15"/>
    <tableColumn id="2" xr3:uid="{9695D9D6-17B0-4A0B-ACCB-5D0B5C09E77D}" name="Custo" dataDxfId="14"/>
    <tableColumn id="3" xr3:uid="{D152717D-6B97-4503-BD58-C1F8CE74E29E}" name="Espaço" dataDxfId="13"/>
  </tableColumns>
  <tableStyleInfo name="TableStyleMedium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42DAEA5-0DB3-4373-9683-2AFBF46D8A51}" name="Rank" displayName="Rank" ref="A1:C8" totalsRowShown="0" headerRowDxfId="12" dataDxfId="11">
  <autoFilter ref="A1:C8" xr:uid="{942DAEA5-0DB3-4373-9683-2AFBF46D8A51}"/>
  <sortState xmlns:xlrd2="http://schemas.microsoft.com/office/spreadsheetml/2017/richdata2" ref="A2:C8">
    <sortCondition ref="A1:A8"/>
  </sortState>
  <tableColumns count="3">
    <tableColumn id="1" xr3:uid="{0549F0BB-DDB6-4F2E-8F93-808C3442F43C}" name="Rank" dataDxfId="10"/>
    <tableColumn id="2" xr3:uid="{F9B52A9C-80CA-4869-9E63-89E429F0B0D3}" name="Influência" dataDxfId="9"/>
    <tableColumn id="3" xr3:uid="{99230657-0DAA-48E1-BEF8-86D4ECE49D47}" name="Crédito" dataDxfId="8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A820912-A522-4A7A-9724-1426CACA19B5}" name="Caracteristica_Arma" displayName="Caracteristica_Arma" ref="A1:B15" totalsRowShown="0" headerRowDxfId="7" dataDxfId="6">
  <autoFilter ref="A1:B15" xr:uid="{4A820912-A522-4A7A-9724-1426CACA19B5}"/>
  <tableColumns count="2">
    <tableColumn id="1" xr3:uid="{C2B737FE-8599-48C6-BF3D-4E6C8D5C0D6A}" name="Especial" dataDxfId="5"/>
    <tableColumn id="2" xr3:uid="{A505EE47-476D-4537-9480-836815AB4161}" name="Descrição" dataDxfId="4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76BAE1B-F6E2-4DCC-9369-6896DD1E7B95}" name="Treinamento" displayName="Treinamento" ref="A1:A5" totalsRowShown="0" headerRowDxfId="3" dataDxfId="2">
  <autoFilter ref="A1:A5" xr:uid="{E76BAE1B-F6E2-4DCC-9369-6896DD1E7B95}"/>
  <tableColumns count="1">
    <tableColumn id="1" xr3:uid="{16F79049-16C5-446A-87F6-0926299A9046}" name="Tipo" dataDxfId="1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C071D22-06E9-41B7-B35B-AE63B687B84E}" name="Classe" displayName="Classe" ref="A1:G6" totalsRowShown="0" headerRowDxfId="0">
  <autoFilter ref="A1:G6" xr:uid="{5C071D22-06E9-41B7-B35B-AE63B687B84E}"/>
  <sortState xmlns:xlrd2="http://schemas.microsoft.com/office/spreadsheetml/2017/richdata2" ref="A2:G6">
    <sortCondition ref="A1:A6"/>
  </sortState>
  <tableColumns count="7">
    <tableColumn id="1" xr3:uid="{95D2D1DA-8975-448C-A17E-522CFBD5D4D6}" name="Classe"/>
    <tableColumn id="2" xr3:uid="{E6834A19-2AC8-438E-8518-27140AA455C2}" name="PV Inicial"/>
    <tableColumn id="3" xr3:uid="{9DB8D27C-C5E4-418C-98AC-FBDFDE563915}" name="PP Inicial"/>
    <tableColumn id="4" xr3:uid="{01725164-856C-4582-B09B-6C6CD2784340}" name="PS Inicial"/>
    <tableColumn id="5" xr3:uid="{CC436E60-4CA4-40C9-B750-1482A5F5D931}" name="PV por Ex. Ca."/>
    <tableColumn id="6" xr3:uid="{A42D72A1-E461-42B5-9E12-46DE0AAAE8B8}" name="PP por Ex. Ca."/>
    <tableColumn id="7" xr3:uid="{044A7E8D-DE6A-4C23-BD95-907AC909EF0A}" name="PS por Ex. Ca.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B3E8BF-9144-4CFE-B336-607C81302F71}">
  <sheetPr codeName="Planilha1"/>
  <dimension ref="A1:V1048576"/>
  <sheetViews>
    <sheetView tabSelected="1" zoomScaleNormal="100" workbookViewId="0">
      <selection activeCell="G18" sqref="G18:H22"/>
    </sheetView>
  </sheetViews>
  <sheetFormatPr defaultRowHeight="14.4" x14ac:dyDescent="0.3"/>
  <cols>
    <col min="2" max="2" width="27.5546875" bestFit="1" customWidth="1"/>
    <col min="4" max="4" width="14.109375" bestFit="1" customWidth="1"/>
    <col min="6" max="6" width="15.6640625" bestFit="1" customWidth="1"/>
    <col min="8" max="8" width="12" bestFit="1" customWidth="1"/>
    <col min="10" max="10" width="4.5546875" bestFit="1" customWidth="1"/>
    <col min="11" max="11" width="2.109375" customWidth="1"/>
    <col min="12" max="15" width="15.6640625" customWidth="1"/>
    <col min="16" max="16" width="18.33203125" customWidth="1"/>
    <col min="18" max="18" width="14.44140625" bestFit="1" customWidth="1"/>
    <col min="19" max="19" width="14.77734375" hidden="1" customWidth="1"/>
    <col min="20" max="20" width="17" bestFit="1" customWidth="1"/>
    <col min="21" max="21" width="11.5546875" bestFit="1" customWidth="1"/>
    <col min="22" max="22" width="10" bestFit="1" customWidth="1"/>
  </cols>
  <sheetData>
    <row r="1" spans="2:22" ht="15" thickBot="1" x14ac:dyDescent="0.35"/>
    <row r="2" spans="2:22" ht="22.2" thickBot="1" x14ac:dyDescent="0.35">
      <c r="B2" s="154"/>
      <c r="C2" s="155"/>
      <c r="D2" s="156"/>
      <c r="F2" s="163" t="s">
        <v>0</v>
      </c>
      <c r="G2" s="164"/>
      <c r="H2" s="165"/>
      <c r="J2" s="144" t="s">
        <v>49</v>
      </c>
      <c r="L2" s="14" t="s">
        <v>13</v>
      </c>
      <c r="M2" s="15">
        <v>0</v>
      </c>
      <c r="N2" s="15">
        <v>0.2</v>
      </c>
      <c r="O2" s="15" t="s">
        <v>14</v>
      </c>
      <c r="P2" s="16" t="s">
        <v>15</v>
      </c>
      <c r="R2" s="37" t="s">
        <v>53</v>
      </c>
      <c r="S2" s="37" t="s">
        <v>54</v>
      </c>
      <c r="T2" s="37" t="s">
        <v>55</v>
      </c>
      <c r="U2" s="37" t="s">
        <v>14</v>
      </c>
      <c r="V2" s="37" t="s">
        <v>15</v>
      </c>
    </row>
    <row r="3" spans="2:22" ht="15.6" x14ac:dyDescent="0.3">
      <c r="B3" s="157"/>
      <c r="C3" s="158"/>
      <c r="D3" s="159"/>
      <c r="F3" s="1"/>
      <c r="G3" s="2"/>
      <c r="H3" s="2"/>
      <c r="J3" s="145"/>
      <c r="L3" s="29" t="s">
        <v>16</v>
      </c>
      <c r="M3" s="27">
        <v>0</v>
      </c>
      <c r="N3" s="27">
        <v>0</v>
      </c>
      <c r="O3" s="27">
        <v>0</v>
      </c>
      <c r="P3" s="19">
        <f>Básico!$M3+N3+Básico!$O3</f>
        <v>0</v>
      </c>
      <c r="R3" s="26" t="s">
        <v>56</v>
      </c>
      <c r="S3" s="26" t="s">
        <v>18</v>
      </c>
      <c r="T3" s="26" t="s">
        <v>57</v>
      </c>
      <c r="U3" s="38"/>
      <c r="V3" s="26">
        <f>VLOOKUP(S3,$L$3:$P$9,5,FALSE)+IF(Atributos[[#This Row],[Treinamento]] = "Leigo",0,IF(Atributos[[#This Row],[Treinamento]]="Calejado",2,IF(Atributos[[#This Row],[Treinamento]]="Experiente",3,4)))+Atributos[[#This Row],[Outros]]</f>
        <v>0</v>
      </c>
    </row>
    <row r="4" spans="2:22" ht="15.6" x14ac:dyDescent="0.3">
      <c r="B4" s="157"/>
      <c r="C4" s="158"/>
      <c r="D4" s="159"/>
      <c r="E4" s="11"/>
      <c r="F4" s="3" t="s">
        <v>1</v>
      </c>
      <c r="G4" s="147"/>
      <c r="H4" s="135"/>
      <c r="J4" s="145"/>
      <c r="L4" s="29" t="s">
        <v>17</v>
      </c>
      <c r="M4" s="27">
        <v>0</v>
      </c>
      <c r="N4" s="27">
        <v>0</v>
      </c>
      <c r="O4" s="27">
        <v>0</v>
      </c>
      <c r="P4" s="19">
        <f>Básico!$M4+N4+Básico!$O4</f>
        <v>0</v>
      </c>
      <c r="R4" s="26" t="s">
        <v>58</v>
      </c>
      <c r="S4" s="26" t="s">
        <v>20</v>
      </c>
      <c r="T4" s="26" t="s">
        <v>57</v>
      </c>
      <c r="U4" s="38"/>
      <c r="V4" s="26">
        <f>VLOOKUP(S4,$L$3:$P$9,5,FALSE)+IF(Atributos[[#This Row],[Treinamento]] = "Leigo",0,IF(Atributos[[#This Row],[Treinamento]]="Calejado",2,IF(Atributos[[#This Row],[Treinamento]]="Experiente",3,4)))+Atributos[[#This Row],[Outros]]</f>
        <v>0</v>
      </c>
    </row>
    <row r="5" spans="2:22" ht="15.6" x14ac:dyDescent="0.3">
      <c r="B5" s="157"/>
      <c r="C5" s="158"/>
      <c r="D5" s="159"/>
      <c r="F5" s="4"/>
      <c r="G5" s="4"/>
      <c r="H5" s="4"/>
      <c r="J5" s="145"/>
      <c r="L5" s="29" t="s">
        <v>18</v>
      </c>
      <c r="M5" s="27">
        <v>0</v>
      </c>
      <c r="N5" s="27">
        <v>0</v>
      </c>
      <c r="O5" s="27">
        <v>0</v>
      </c>
      <c r="P5" s="19">
        <f>Básico!$M5+N5+Básico!$O5</f>
        <v>0</v>
      </c>
      <c r="R5" s="26" t="s">
        <v>59</v>
      </c>
      <c r="S5" s="26" t="s">
        <v>16</v>
      </c>
      <c r="T5" s="26" t="s">
        <v>57</v>
      </c>
      <c r="U5" s="38"/>
      <c r="V5" s="26">
        <f>VLOOKUP(S5,$L$3:$P$9,5,FALSE)+IF(Atributos[[#This Row],[Treinamento]] = "Leigo",0,IF(Atributos[[#This Row],[Treinamento]]="Calejado",2,IF(Atributos[[#This Row],[Treinamento]]="Experiente",3,4)))+Atributos[[#This Row],[Outros]]</f>
        <v>0</v>
      </c>
    </row>
    <row r="6" spans="2:22" ht="15.6" x14ac:dyDescent="0.3">
      <c r="B6" s="157"/>
      <c r="C6" s="158"/>
      <c r="D6" s="159"/>
      <c r="F6" s="3" t="s">
        <v>2</v>
      </c>
      <c r="G6" s="153"/>
      <c r="H6" s="135"/>
      <c r="J6" s="145"/>
      <c r="L6" s="29" t="s">
        <v>19</v>
      </c>
      <c r="M6" s="27">
        <v>0</v>
      </c>
      <c r="N6" s="27">
        <v>0</v>
      </c>
      <c r="O6" s="27">
        <v>0</v>
      </c>
      <c r="P6" s="19">
        <f>Básico!$M6+N6+Básico!$O6</f>
        <v>0</v>
      </c>
      <c r="R6" s="26" t="s">
        <v>60</v>
      </c>
      <c r="S6" s="26" t="s">
        <v>22</v>
      </c>
      <c r="T6" s="26" t="s">
        <v>57</v>
      </c>
      <c r="U6" s="38"/>
      <c r="V6" s="26">
        <f>VLOOKUP(S6,$L$3:$P$9,5,FALSE)+IF(Atributos[[#This Row],[Treinamento]] = "Leigo",0,IF(Atributos[[#This Row],[Treinamento]]="Calejado",2,IF(Atributos[[#This Row],[Treinamento]]="Experiente",3,4)))+Atributos[[#This Row],[Outros]]</f>
        <v>0</v>
      </c>
    </row>
    <row r="7" spans="2:22" ht="15.6" x14ac:dyDescent="0.3">
      <c r="B7" s="157"/>
      <c r="C7" s="158"/>
      <c r="D7" s="159"/>
      <c r="F7" s="4"/>
      <c r="G7" s="4"/>
      <c r="H7" s="4"/>
      <c r="J7" s="145"/>
      <c r="L7" s="29" t="s">
        <v>20</v>
      </c>
      <c r="M7" s="27">
        <v>0</v>
      </c>
      <c r="N7" s="27">
        <v>0</v>
      </c>
      <c r="O7" s="27">
        <v>0</v>
      </c>
      <c r="P7" s="19">
        <f>Básico!$M7+N7+Básico!$O7</f>
        <v>0</v>
      </c>
      <c r="R7" s="26" t="s">
        <v>61</v>
      </c>
      <c r="S7" s="26" t="s">
        <v>17</v>
      </c>
      <c r="T7" s="26" t="s">
        <v>57</v>
      </c>
      <c r="U7" s="38"/>
      <c r="V7" s="26">
        <f>VLOOKUP(S7,$L$3:$P$9,5,FALSE)+IF(Atributos[[#This Row],[Treinamento]] = "Leigo",0,IF(Atributos[[#This Row],[Treinamento]]="Calejado",2,IF(Atributos[[#This Row],[Treinamento]]="Experiente",3,4)))+Atributos[[#This Row],[Outros]]</f>
        <v>0</v>
      </c>
    </row>
    <row r="8" spans="2:22" ht="15.6" x14ac:dyDescent="0.3">
      <c r="B8" s="157"/>
      <c r="C8" s="158"/>
      <c r="D8" s="159"/>
      <c r="F8" s="3" t="s">
        <v>84</v>
      </c>
      <c r="G8" s="166" t="str">
        <f>IF(AND(G6&gt;=8,G6&lt;=12),"Criança",IF(AND(G6&gt;=13,G6&lt;=17),"Adolescente",IF(AND(G6&gt;=18,G6&lt;=24),"Jovem Adulto",IF(AND(G6&gt;=25,G6&lt;=39),"Adulto",IF(AND(G6&gt;=40,G6&lt;=64),"Velho",IF(G6&gt;=65,"Idoso","Bebê de Potinho"))))))</f>
        <v>Bebê de Potinho</v>
      </c>
      <c r="H8" s="167"/>
      <c r="J8" s="145"/>
      <c r="L8" s="29" t="s">
        <v>21</v>
      </c>
      <c r="M8" s="27">
        <v>0</v>
      </c>
      <c r="N8" s="27">
        <v>0</v>
      </c>
      <c r="O8" s="27">
        <v>0</v>
      </c>
      <c r="P8" s="19">
        <f>Básico!$M8+N8+Básico!$O8</f>
        <v>0</v>
      </c>
      <c r="R8" s="26" t="s">
        <v>62</v>
      </c>
      <c r="S8" s="26" t="s">
        <v>22</v>
      </c>
      <c r="T8" s="26" t="s">
        <v>57</v>
      </c>
      <c r="U8" s="38"/>
      <c r="V8" s="26">
        <f>VLOOKUP(S8,$L$3:$P$9,5,FALSE)+IF(Atributos[[#This Row],[Treinamento]] = "Leigo",0,IF(Atributos[[#This Row],[Treinamento]]="Calejado",2,IF(Atributos[[#This Row],[Treinamento]]="Experiente",3,4)))+Atributos[[#This Row],[Outros]]</f>
        <v>0</v>
      </c>
    </row>
    <row r="9" spans="2:22" ht="15.6" x14ac:dyDescent="0.3">
      <c r="B9" s="157"/>
      <c r="C9" s="158"/>
      <c r="D9" s="159"/>
      <c r="F9" s="4"/>
      <c r="G9" s="4"/>
      <c r="H9" s="4"/>
      <c r="J9" s="145"/>
      <c r="L9" s="30" t="s">
        <v>22</v>
      </c>
      <c r="M9" s="28">
        <v>0</v>
      </c>
      <c r="N9" s="28">
        <v>0</v>
      </c>
      <c r="O9" s="28">
        <v>0</v>
      </c>
      <c r="P9" s="32">
        <f>Básico!$M9+N9+Básico!$O9</f>
        <v>0</v>
      </c>
      <c r="R9" s="26" t="s">
        <v>63</v>
      </c>
      <c r="S9" s="26" t="s">
        <v>22</v>
      </c>
      <c r="T9" s="26" t="s">
        <v>57</v>
      </c>
      <c r="U9" s="38"/>
      <c r="V9" s="26">
        <f>VLOOKUP(S9,$L$3:$P$9,5,FALSE)+IF(Atributos[[#This Row],[Treinamento]] = "Leigo",0,IF(Atributos[[#This Row],[Treinamento]]="Calejado",2,IF(Atributos[[#This Row],[Treinamento]]="Experiente",3,4)))+Atributos[[#This Row],[Outros]]</f>
        <v>0</v>
      </c>
    </row>
    <row r="10" spans="2:22" ht="15" x14ac:dyDescent="0.3">
      <c r="B10" s="157"/>
      <c r="C10" s="158"/>
      <c r="D10" s="159"/>
      <c r="F10" s="3" t="s">
        <v>41</v>
      </c>
      <c r="G10" s="168"/>
      <c r="H10" s="169"/>
      <c r="J10" s="145"/>
      <c r="R10" s="26" t="s">
        <v>64</v>
      </c>
      <c r="S10" s="26" t="s">
        <v>21</v>
      </c>
      <c r="T10" s="26" t="s">
        <v>57</v>
      </c>
      <c r="U10" s="38"/>
      <c r="V10" s="26">
        <f>VLOOKUP(S10,$L$3:$P$9,5,FALSE)+IF(Atributos[[#This Row],[Treinamento]] = "Leigo",0,IF(Atributos[[#This Row],[Treinamento]]="Calejado",2,IF(Atributos[[#This Row],[Treinamento]]="Experiente",3,4)))+Atributos[[#This Row],[Outros]]</f>
        <v>0</v>
      </c>
    </row>
    <row r="11" spans="2:22" ht="17.399999999999999" x14ac:dyDescent="0.3">
      <c r="B11" s="157"/>
      <c r="C11" s="158"/>
      <c r="D11" s="159"/>
      <c r="F11" s="4"/>
      <c r="G11" s="4"/>
      <c r="H11" s="4"/>
      <c r="J11" s="145"/>
      <c r="L11" s="22" t="s">
        <v>13</v>
      </c>
      <c r="M11" s="23" t="s">
        <v>23</v>
      </c>
      <c r="N11" s="23" t="s">
        <v>24</v>
      </c>
      <c r="O11" s="24" t="s">
        <v>44</v>
      </c>
      <c r="P11" s="25" t="s">
        <v>25</v>
      </c>
      <c r="R11" s="26" t="s">
        <v>65</v>
      </c>
      <c r="S11" s="26" t="s">
        <v>18</v>
      </c>
      <c r="T11" s="26" t="s">
        <v>57</v>
      </c>
      <c r="U11" s="38"/>
      <c r="V11" s="26">
        <f>VLOOKUP(S11,$L$3:$P$9,5,FALSE)+IF(Atributos[[#This Row],[Treinamento]] = "Leigo",0,IF(Atributos[[#This Row],[Treinamento]]="Calejado",2,IF(Atributos[[#This Row],[Treinamento]]="Experiente",3,4)))+Atributos[[#This Row],[Outros]]</f>
        <v>0</v>
      </c>
    </row>
    <row r="12" spans="2:22" ht="15.6" x14ac:dyDescent="0.3">
      <c r="B12" s="157"/>
      <c r="C12" s="158"/>
      <c r="D12" s="159"/>
      <c r="F12" s="3" t="s">
        <v>42</v>
      </c>
      <c r="G12" s="153"/>
      <c r="H12" s="135"/>
      <c r="J12" s="145"/>
      <c r="L12" s="17" t="s">
        <v>40</v>
      </c>
      <c r="M12" s="18">
        <f>IFERROR(IF(AND(G20="Robusto",G22&gt;=15%),(VLOOKUP($G$18,Classe[],2,TRUE)+(P8*2))+((G22/5%)*(VLOOKUP($G$18,Classe[],5,TRUE)+(P8*2))),(VLOOKUP($G$18,Classe[],2,TRUE)+P8)+(((G22-5%)/5%)*(VLOOKUP($G$18,Classe[],5,TRUE)+P8))),0)</f>
        <v>0</v>
      </c>
      <c r="N12" s="27"/>
      <c r="O12" s="27"/>
      <c r="P12" s="19">
        <f>M12-N12+O12</f>
        <v>0</v>
      </c>
      <c r="R12" s="26" t="s">
        <v>66</v>
      </c>
      <c r="S12" s="26" t="s">
        <v>17</v>
      </c>
      <c r="T12" s="26" t="s">
        <v>57</v>
      </c>
      <c r="U12" s="38"/>
      <c r="V12" s="26">
        <f>VLOOKUP(S12,$L$3:$P$9,5,FALSE)+IF(Atributos[[#This Row],[Treinamento]] = "Leigo",0,IF(Atributos[[#This Row],[Treinamento]]="Calejado",2,IF(Atributos[[#This Row],[Treinamento]]="Experiente",3,4)))+Atributos[[#This Row],[Outros]]</f>
        <v>0</v>
      </c>
    </row>
    <row r="13" spans="2:22" ht="15.6" x14ac:dyDescent="0.3">
      <c r="B13" s="157"/>
      <c r="C13" s="158"/>
      <c r="D13" s="159"/>
      <c r="F13" s="4"/>
      <c r="G13" s="4"/>
      <c r="H13" s="4"/>
      <c r="J13" s="145"/>
      <c r="L13" s="29" t="s">
        <v>39</v>
      </c>
      <c r="M13" s="31">
        <f>IFERROR((VLOOKUP($G$18,Classe[],3,TRUE)+P6)+(((G22-5%)/5%)*(VLOOKUP($G$18,Classe[],6,TRUE)+P6)),0)</f>
        <v>0</v>
      </c>
      <c r="N13" s="27"/>
      <c r="O13" s="27"/>
      <c r="P13" s="19">
        <f>M13-N13+O13</f>
        <v>0</v>
      </c>
      <c r="R13" s="26" t="s">
        <v>69</v>
      </c>
      <c r="S13" s="26" t="s">
        <v>18</v>
      </c>
      <c r="T13" s="26" t="s">
        <v>57</v>
      </c>
      <c r="U13" s="38"/>
      <c r="V13" s="26">
        <f>VLOOKUP(S13,$L$3:$P$9,5,FALSE)+IF(Atributos[[#This Row],[Treinamento]] = "Leigo",0,IF(Atributos[[#This Row],[Treinamento]]="Calejado",2,IF(Atributos[[#This Row],[Treinamento]]="Experiente",3,4)))+Atributos[[#This Row],[Outros]]</f>
        <v>0</v>
      </c>
    </row>
    <row r="14" spans="2:22" ht="15.6" x14ac:dyDescent="0.3">
      <c r="B14" s="157"/>
      <c r="C14" s="158"/>
      <c r="D14" s="159"/>
      <c r="F14" s="3" t="s">
        <v>3</v>
      </c>
      <c r="G14" s="153"/>
      <c r="H14" s="135"/>
      <c r="J14" s="145"/>
      <c r="L14" s="20" t="s">
        <v>38</v>
      </c>
      <c r="M14" s="21">
        <f>IFERROR((VLOOKUP($G$18,Classe[],4,TRUE)+P7)+((($G$22-5%)/5%)*(VLOOKUP($G$18,Classe[],7,TRUE)+P7))-SUM(Passagem!E3:E22)-((COUNTA(Passagem!B3:B22)*VLOOKUP($G$18,Classe[],7,TRUE)+P7)),0)</f>
        <v>0</v>
      </c>
      <c r="N14" s="28"/>
      <c r="O14" s="28"/>
      <c r="P14" s="32">
        <f>M14-N14+O14</f>
        <v>0</v>
      </c>
      <c r="R14" s="26" t="s">
        <v>67</v>
      </c>
      <c r="S14" s="26" t="s">
        <v>22</v>
      </c>
      <c r="T14" s="26" t="s">
        <v>57</v>
      </c>
      <c r="U14" s="38"/>
      <c r="V14" s="26">
        <f>VLOOKUP(S14,$L$3:$P$9,5,FALSE)+IF(Atributos[[#This Row],[Treinamento]] = "Leigo",0,IF(Atributos[[#This Row],[Treinamento]]="Calejado",2,IF(Atributos[[#This Row],[Treinamento]]="Experiente",3,4)))+Atributos[[#This Row],[Outros]]</f>
        <v>0</v>
      </c>
    </row>
    <row r="15" spans="2:22" x14ac:dyDescent="0.3">
      <c r="B15" s="157"/>
      <c r="C15" s="158"/>
      <c r="D15" s="159"/>
      <c r="F15" s="4"/>
      <c r="G15" s="4"/>
      <c r="H15" s="4"/>
      <c r="J15" s="145"/>
      <c r="R15" s="26" t="s">
        <v>68</v>
      </c>
      <c r="S15" s="26" t="s">
        <v>20</v>
      </c>
      <c r="T15" s="26" t="s">
        <v>57</v>
      </c>
      <c r="U15" s="38"/>
      <c r="V15" s="26">
        <f>VLOOKUP(S15,$L$3:$P$9,5,FALSE)+IF(Atributos[[#This Row],[Treinamento]] = "Leigo",0,IF(Atributos[[#This Row],[Treinamento]]="Calejado",2,IF(Atributos[[#This Row],[Treinamento]]="Experiente",3,4)))+Atributos[[#This Row],[Outros]]</f>
        <v>0</v>
      </c>
    </row>
    <row r="16" spans="2:22" ht="15" x14ac:dyDescent="0.3">
      <c r="B16" s="157"/>
      <c r="C16" s="158"/>
      <c r="D16" s="159"/>
      <c r="F16" s="3" t="s">
        <v>4</v>
      </c>
      <c r="G16" s="151"/>
      <c r="H16" s="152"/>
      <c r="J16" s="145"/>
      <c r="L16" s="33" t="s">
        <v>43</v>
      </c>
      <c r="M16" s="33" t="s">
        <v>145</v>
      </c>
      <c r="N16" s="33" t="s">
        <v>45</v>
      </c>
      <c r="O16" s="33" t="s">
        <v>46</v>
      </c>
      <c r="P16" s="33" t="s">
        <v>47</v>
      </c>
      <c r="R16" s="26" t="s">
        <v>70</v>
      </c>
      <c r="S16" s="26" t="s">
        <v>17</v>
      </c>
      <c r="T16" s="26" t="s">
        <v>57</v>
      </c>
      <c r="U16" s="38"/>
      <c r="V16" s="26">
        <f>VLOOKUP(S16,$L$3:$P$9,5,FALSE)+IF(Atributos[[#This Row],[Treinamento]] = "Leigo",0,IF(Atributos[[#This Row],[Treinamento]]="Calejado",2,IF(Atributos[[#This Row],[Treinamento]]="Experiente",3,4)))+Atributos[[#This Row],[Outros]]</f>
        <v>0</v>
      </c>
    </row>
    <row r="17" spans="2:22" ht="15" customHeight="1" x14ac:dyDescent="0.3">
      <c r="B17" s="157"/>
      <c r="C17" s="158"/>
      <c r="D17" s="159"/>
      <c r="F17" s="4"/>
      <c r="G17" s="4"/>
      <c r="H17" s="4"/>
      <c r="J17" s="145"/>
      <c r="L17" s="179">
        <f>5 + P5 + M17 + IF(N53="SIM",IF(T25 = "Calejado", 2, IF(T25 = "Experiente", 3, IF(T25="Mestre",4,0))),0)</f>
        <v>5</v>
      </c>
      <c r="M17" s="173"/>
      <c r="N17" s="176">
        <f>5 + (G22 / 5%) / 2 + O17 + P6</f>
        <v>5</v>
      </c>
      <c r="O17" s="173"/>
      <c r="P17" s="170" t="str">
        <f>IF(P16="Deslocamento (m)", TEXT(9+IF(AND(G18="Duelista",G20="Tropa de Elite",G22&gt;=15%),3,0)+(ROUND(P5/2,0)*1.5),"0,0"), TEXT(((9+IF(AND(G18="Duelista",G20="Tropa de Elite",G22&gt;=15%),3,0)+(ROUND(P5/2,0)*1.5))/1.5),"0"))</f>
        <v>9,0</v>
      </c>
      <c r="R17" s="26" t="s">
        <v>71</v>
      </c>
      <c r="S17" s="26" t="s">
        <v>16</v>
      </c>
      <c r="T17" s="26" t="s">
        <v>57</v>
      </c>
      <c r="U17" s="38"/>
      <c r="V17" s="26">
        <f>VLOOKUP(S17,$L$3:$P$9,5,FALSE)+IF(Atributos[[#This Row],[Treinamento]] = "Leigo",0,IF(Atributos[[#This Row],[Treinamento]]="Calejado",2,IF(Atributos[[#This Row],[Treinamento]]="Experiente",3,4)))+Atributos[[#This Row],[Outros]]</f>
        <v>0</v>
      </c>
    </row>
    <row r="18" spans="2:22" ht="15.75" customHeight="1" x14ac:dyDescent="0.3">
      <c r="B18" s="157"/>
      <c r="C18" s="158"/>
      <c r="D18" s="159"/>
      <c r="E18" s="11"/>
      <c r="F18" s="3" t="s">
        <v>5</v>
      </c>
      <c r="G18" s="153"/>
      <c r="H18" s="135"/>
      <c r="J18" s="145"/>
      <c r="L18" s="177"/>
      <c r="M18" s="174"/>
      <c r="N18" s="177"/>
      <c r="O18" s="174"/>
      <c r="P18" s="171"/>
      <c r="R18" s="26" t="s">
        <v>86</v>
      </c>
      <c r="S18" s="26" t="s">
        <v>17</v>
      </c>
      <c r="T18" s="26" t="s">
        <v>57</v>
      </c>
      <c r="U18" s="38"/>
      <c r="V18" s="26">
        <f>VLOOKUP(S18,$L$3:$P$9,5,FALSE)+IF(Atributos[[#This Row],[Treinamento]] = "Leigo",0,IF(Atributos[[#This Row],[Treinamento]]="Calejado",2,IF(Atributos[[#This Row],[Treinamento]]="Experiente",3,4)))+Atributos[[#This Row],[Outros]]</f>
        <v>0</v>
      </c>
    </row>
    <row r="19" spans="2:22" ht="15" customHeight="1" x14ac:dyDescent="0.3">
      <c r="B19" s="157"/>
      <c r="C19" s="158"/>
      <c r="D19" s="159"/>
      <c r="F19" s="5"/>
      <c r="G19" s="5"/>
      <c r="H19" s="5"/>
      <c r="J19" s="145"/>
      <c r="L19" s="177"/>
      <c r="M19" s="174"/>
      <c r="N19" s="177"/>
      <c r="O19" s="174"/>
      <c r="P19" s="171"/>
      <c r="R19" s="26" t="s">
        <v>72</v>
      </c>
      <c r="S19" s="26" t="s">
        <v>17</v>
      </c>
      <c r="T19" s="26" t="s">
        <v>57</v>
      </c>
      <c r="U19" s="38"/>
      <c r="V19" s="26">
        <f>VLOOKUP(S19,$L$3:$P$9,5,FALSE)+IF(Atributos[[#This Row],[Treinamento]] = "Leigo",0,IF(Atributos[[#This Row],[Treinamento]]="Calejado",2,IF(Atributos[[#This Row],[Treinamento]]="Experiente",3,4)))+Atributos[[#This Row],[Outros]]</f>
        <v>0</v>
      </c>
    </row>
    <row r="20" spans="2:22" ht="15.75" customHeight="1" x14ac:dyDescent="0.3">
      <c r="B20" s="157"/>
      <c r="C20" s="158"/>
      <c r="D20" s="159"/>
      <c r="E20" s="11"/>
      <c r="F20" s="6" t="s">
        <v>6</v>
      </c>
      <c r="G20" s="134"/>
      <c r="H20" s="135"/>
      <c r="J20" s="145"/>
      <c r="L20" s="178"/>
      <c r="M20" s="175"/>
      <c r="N20" s="178"/>
      <c r="O20" s="175"/>
      <c r="P20" s="172"/>
      <c r="R20" s="26" t="s">
        <v>73</v>
      </c>
      <c r="S20" s="26" t="s">
        <v>17</v>
      </c>
      <c r="T20" s="26" t="s">
        <v>57</v>
      </c>
      <c r="U20" s="38"/>
      <c r="V20" s="26">
        <f>VLOOKUP(S20,$L$3:$P$9,5,FALSE)+IF(Atributos[[#This Row],[Treinamento]] = "Leigo",0,IF(Atributos[[#This Row],[Treinamento]]="Calejado",2,IF(Atributos[[#This Row],[Treinamento]]="Experiente",3,4)))+Atributos[[#This Row],[Outros]]</f>
        <v>0</v>
      </c>
    </row>
    <row r="21" spans="2:22" x14ac:dyDescent="0.3">
      <c r="B21" s="157"/>
      <c r="C21" s="158"/>
      <c r="D21" s="159"/>
      <c r="F21" s="5"/>
      <c r="G21" s="5"/>
      <c r="H21" s="5"/>
      <c r="J21" s="145"/>
      <c r="R21" s="26" t="s">
        <v>74</v>
      </c>
      <c r="S21" s="26" t="s">
        <v>20</v>
      </c>
      <c r="T21" s="26" t="s">
        <v>57</v>
      </c>
      <c r="U21" s="38"/>
      <c r="V21" s="26">
        <f>VLOOKUP(S21,$L$3:$P$9,5,FALSE)+IF(Atributos[[#This Row],[Treinamento]] = "Leigo",0,IF(Atributos[[#This Row],[Treinamento]]="Calejado",2,IF(Atributos[[#This Row],[Treinamento]]="Experiente",3,4)))+Atributos[[#This Row],[Outros]]</f>
        <v>0</v>
      </c>
    </row>
    <row r="22" spans="2:22" ht="15.6" thickBot="1" x14ac:dyDescent="0.35">
      <c r="B22" s="160"/>
      <c r="C22" s="161"/>
      <c r="D22" s="162"/>
      <c r="E22" s="11"/>
      <c r="F22" s="6" t="s">
        <v>7</v>
      </c>
      <c r="G22" s="134"/>
      <c r="H22" s="135"/>
      <c r="J22" s="146"/>
      <c r="L22" s="138" t="str">
        <f>_xlfn.CONCAT("Limite de PP: ",(G22/5%) + IF(G20="Caminho da Agonia", P6, 0))</f>
        <v>Limite de PP: 0</v>
      </c>
      <c r="M22" s="138"/>
      <c r="N22" s="138"/>
      <c r="O22" s="138"/>
      <c r="P22" s="138"/>
      <c r="R22" s="26" t="s">
        <v>75</v>
      </c>
      <c r="S22" s="26" t="s">
        <v>18</v>
      </c>
      <c r="T22" s="26" t="s">
        <v>57</v>
      </c>
      <c r="U22" s="38"/>
      <c r="V22" s="26">
        <f>VLOOKUP(S22,$L$3:$P$9,5,FALSE)+IF(Atributos[[#This Row],[Treinamento]] = "Leigo",0,IF(Atributos[[#This Row],[Treinamento]]="Calejado",2,IF(Atributos[[#This Row],[Treinamento]]="Experiente",3,4)))+Atributos[[#This Row],[Outros]]</f>
        <v>0</v>
      </c>
    </row>
    <row r="23" spans="2:22" ht="15" thickBot="1" x14ac:dyDescent="0.35">
      <c r="F23" s="4"/>
      <c r="R23" s="26" t="s">
        <v>76</v>
      </c>
      <c r="S23" s="26" t="s">
        <v>18</v>
      </c>
      <c r="T23" s="26" t="s">
        <v>57</v>
      </c>
      <c r="U23" s="38"/>
      <c r="V23" s="26">
        <f>VLOOKUP(S23,$L$3:$P$9,5,FALSE)+IF(Atributos[[#This Row],[Treinamento]] = "Leigo",0,IF(Atributos[[#This Row],[Treinamento]]="Calejado",2,IF(Atributos[[#This Row],[Treinamento]]="Experiente",3,4)))+Atributos[[#This Row],[Outros]]</f>
        <v>0</v>
      </c>
    </row>
    <row r="24" spans="2:22" ht="18" thickBot="1" x14ac:dyDescent="0.35">
      <c r="B24" s="148" t="s">
        <v>146</v>
      </c>
      <c r="C24" s="149"/>
      <c r="D24" s="150"/>
      <c r="F24" s="148" t="s">
        <v>216</v>
      </c>
      <c r="G24" s="149"/>
      <c r="H24" s="150"/>
      <c r="J24" s="102" t="s">
        <v>48</v>
      </c>
      <c r="L24" s="141" t="s">
        <v>50</v>
      </c>
      <c r="M24" s="14" t="s">
        <v>10</v>
      </c>
      <c r="N24" s="15" t="s">
        <v>51</v>
      </c>
      <c r="O24" s="143" t="s">
        <v>52</v>
      </c>
      <c r="P24" s="143"/>
      <c r="R24" s="26" t="s">
        <v>77</v>
      </c>
      <c r="S24" s="26" t="s">
        <v>18</v>
      </c>
      <c r="T24" s="26" t="s">
        <v>57</v>
      </c>
      <c r="U24" s="38"/>
      <c r="V24" s="26">
        <f>VLOOKUP(S24,$L$3:$P$9,5,FALSE)+IF(Atributos[[#This Row],[Treinamento]] = "Leigo",0,IF(Atributos[[#This Row],[Treinamento]]="Calejado",2,IF(Atributos[[#This Row],[Treinamento]]="Experiente",3,4)))+Atributos[[#This Row],[Outros]]</f>
        <v>0</v>
      </c>
    </row>
    <row r="25" spans="2:22" ht="15.75" customHeight="1" x14ac:dyDescent="0.3">
      <c r="B25" s="7" t="s">
        <v>10</v>
      </c>
      <c r="C25" s="8" t="s">
        <v>147</v>
      </c>
      <c r="D25" s="9" t="s">
        <v>11</v>
      </c>
      <c r="F25" s="125"/>
      <c r="G25" s="126"/>
      <c r="H25" s="127"/>
      <c r="J25" s="103"/>
      <c r="L25" s="142"/>
      <c r="M25" s="66"/>
      <c r="N25" s="35"/>
      <c r="O25" s="136"/>
      <c r="P25" s="137"/>
      <c r="Q25" s="34"/>
      <c r="R25" s="26" t="s">
        <v>78</v>
      </c>
      <c r="S25" s="26" t="s">
        <v>18</v>
      </c>
      <c r="T25" s="26" t="s">
        <v>57</v>
      </c>
      <c r="U25" s="38"/>
      <c r="V25" s="26">
        <f>VLOOKUP(S25,$L$3:$P$9,5,FALSE)+IF(Atributos[[#This Row],[Treinamento]] = "Leigo",0,IF(Atributos[[#This Row],[Treinamento]]="Calejado",2,IF(Atributos[[#This Row],[Treinamento]]="Experiente",3,4)))+Atributos[[#This Row],[Outros]]</f>
        <v>0</v>
      </c>
    </row>
    <row r="26" spans="2:22" ht="15" customHeight="1" x14ac:dyDescent="0.3">
      <c r="B26" s="58"/>
      <c r="C26" s="59"/>
      <c r="D26" s="71"/>
      <c r="F26" s="128"/>
      <c r="G26" s="129"/>
      <c r="H26" s="130"/>
      <c r="J26" s="103"/>
      <c r="L26" s="139">
        <f>((M9+N9)*3)+SUM(N25:N31)</f>
        <v>0</v>
      </c>
      <c r="M26" s="67"/>
      <c r="N26" s="34"/>
      <c r="O26" s="136"/>
      <c r="P26" s="137"/>
      <c r="Q26" s="34"/>
      <c r="R26" s="26" t="s">
        <v>79</v>
      </c>
      <c r="S26" s="26" t="s">
        <v>17</v>
      </c>
      <c r="T26" s="26" t="s">
        <v>57</v>
      </c>
      <c r="U26" s="38"/>
      <c r="V26" s="26">
        <f>VLOOKUP(S26,$L$3:$P$9,5,FALSE)+IF(Atributos[[#This Row],[Treinamento]] = "Leigo",0,IF(Atributos[[#This Row],[Treinamento]]="Calejado",2,IF(Atributos[[#This Row],[Treinamento]]="Experiente",3,4)))+Atributos[[#This Row],[Outros]]</f>
        <v>0</v>
      </c>
    </row>
    <row r="27" spans="2:22" ht="15" customHeight="1" x14ac:dyDescent="0.3">
      <c r="B27" s="10"/>
      <c r="C27" s="61"/>
      <c r="D27" s="70"/>
      <c r="F27" s="128"/>
      <c r="G27" s="129"/>
      <c r="H27" s="130"/>
      <c r="J27" s="103"/>
      <c r="L27" s="140"/>
      <c r="M27" s="68"/>
      <c r="N27" s="28"/>
      <c r="O27" s="136"/>
      <c r="P27" s="137"/>
      <c r="Q27" s="34"/>
      <c r="R27" s="26" t="s">
        <v>80</v>
      </c>
      <c r="S27" s="26" t="s">
        <v>20</v>
      </c>
      <c r="T27" s="26" t="s">
        <v>57</v>
      </c>
      <c r="U27" s="38"/>
      <c r="V27" s="26">
        <f>VLOOKUP(S27,$L$3:$P$9,5,FALSE)+IF(Atributos[[#This Row],[Treinamento]] = "Leigo",0,IF(Atributos[[#This Row],[Treinamento]]="Calejado",2,IF(Atributos[[#This Row],[Treinamento]]="Experiente",3,4)))+Atributos[[#This Row],[Outros]]</f>
        <v>0</v>
      </c>
    </row>
    <row r="28" spans="2:22" ht="15" customHeight="1" x14ac:dyDescent="0.3">
      <c r="B28" s="10"/>
      <c r="C28" s="61"/>
      <c r="D28" s="70"/>
      <c r="F28" s="128"/>
      <c r="G28" s="129"/>
      <c r="H28" s="130"/>
      <c r="J28" s="103"/>
      <c r="L28" s="140"/>
      <c r="M28" s="69"/>
      <c r="N28" s="27"/>
      <c r="O28" s="136"/>
      <c r="P28" s="137"/>
      <c r="R28" s="26" t="s">
        <v>81</v>
      </c>
      <c r="S28" s="26" t="s">
        <v>17</v>
      </c>
      <c r="T28" s="26" t="s">
        <v>57</v>
      </c>
      <c r="U28" s="38"/>
      <c r="V28" s="26">
        <f>VLOOKUP(S28,$L$3:$P$9,5,FALSE)+IF(Atributos[[#This Row],[Treinamento]] = "Leigo",0,IF(Atributos[[#This Row],[Treinamento]]="Calejado",2,IF(Atributos[[#This Row],[Treinamento]]="Experiente",3,4)))+Atributos[[#This Row],[Outros]]</f>
        <v>0</v>
      </c>
    </row>
    <row r="29" spans="2:22" ht="15" customHeight="1" x14ac:dyDescent="0.3">
      <c r="B29" s="10"/>
      <c r="C29" s="61"/>
      <c r="D29" s="11"/>
      <c r="F29" s="128"/>
      <c r="G29" s="129"/>
      <c r="H29" s="130"/>
      <c r="J29" s="103"/>
      <c r="L29" s="140"/>
      <c r="M29" s="69"/>
      <c r="N29" s="27"/>
      <c r="O29" s="136"/>
      <c r="P29" s="137"/>
      <c r="R29" s="26" t="s">
        <v>82</v>
      </c>
      <c r="S29" s="26" t="s">
        <v>17</v>
      </c>
      <c r="T29" s="26" t="s">
        <v>57</v>
      </c>
      <c r="U29" s="38"/>
      <c r="V29" s="26">
        <f>VLOOKUP(S29,$L$3:$P$9,5,FALSE)+IF(Atributos[[#This Row],[Treinamento]] = "Leigo",0,IF(Atributos[[#This Row],[Treinamento]]="Calejado",2,IF(Atributos[[#This Row],[Treinamento]]="Experiente",3,4)))+Atributos[[#This Row],[Outros]]</f>
        <v>0</v>
      </c>
    </row>
    <row r="30" spans="2:22" ht="15" customHeight="1" x14ac:dyDescent="0.3">
      <c r="B30" s="10"/>
      <c r="C30" s="61"/>
      <c r="D30" s="11"/>
      <c r="F30" s="128"/>
      <c r="G30" s="129"/>
      <c r="H30" s="130"/>
      <c r="J30" s="103"/>
      <c r="L30" s="140"/>
      <c r="M30" s="68"/>
      <c r="N30" s="28"/>
      <c r="O30" s="136"/>
      <c r="P30" s="137"/>
      <c r="R30" s="26" t="s">
        <v>83</v>
      </c>
      <c r="S30" s="26" t="s">
        <v>20</v>
      </c>
      <c r="T30" s="26" t="s">
        <v>57</v>
      </c>
      <c r="U30" s="38"/>
      <c r="V30" s="26">
        <f>VLOOKUP(S30,$L$3:$P$9,5,FALSE)+IF(Atributos[[#This Row],[Treinamento]] = "Leigo",0,IF(Atributos[[#This Row],[Treinamento]]="Calejado",2,IF(Atributos[[#This Row],[Treinamento]]="Experiente",3,4)))+Atributos[[#This Row],[Outros]]</f>
        <v>0</v>
      </c>
    </row>
    <row r="31" spans="2:22" ht="15.75" customHeight="1" thickBot="1" x14ac:dyDescent="0.35">
      <c r="B31" s="10"/>
      <c r="C31" s="61"/>
      <c r="D31" s="11"/>
      <c r="F31" s="131"/>
      <c r="G31" s="132"/>
      <c r="H31" s="133"/>
      <c r="J31" s="104"/>
      <c r="L31" s="140"/>
      <c r="M31" s="66"/>
      <c r="N31" s="35"/>
      <c r="O31" s="136"/>
      <c r="P31" s="137"/>
    </row>
    <row r="32" spans="2:22" ht="15" thickBot="1" x14ac:dyDescent="0.35">
      <c r="B32" s="10"/>
      <c r="C32" s="61"/>
      <c r="D32" s="11"/>
    </row>
    <row r="33" spans="2:16" ht="15.6" thickBot="1" x14ac:dyDescent="0.35">
      <c r="B33" s="10"/>
      <c r="C33" s="61"/>
      <c r="D33" s="11"/>
      <c r="F33" s="72" t="s">
        <v>152</v>
      </c>
      <c r="G33" s="73" t="s">
        <v>159</v>
      </c>
      <c r="H33" s="74" t="s">
        <v>158</v>
      </c>
      <c r="J33" s="102" t="s">
        <v>165</v>
      </c>
      <c r="L33" s="33" t="s">
        <v>162</v>
      </c>
      <c r="M33" s="33" t="s">
        <v>163</v>
      </c>
      <c r="N33" s="33" t="s">
        <v>164</v>
      </c>
      <c r="O33" s="33" t="s">
        <v>218</v>
      </c>
      <c r="P33" s="33" t="s">
        <v>217</v>
      </c>
    </row>
    <row r="34" spans="2:16" ht="15" customHeight="1" thickTop="1" x14ac:dyDescent="0.3">
      <c r="B34" s="10"/>
      <c r="C34" s="61"/>
      <c r="D34" s="11"/>
      <c r="F34" s="75" t="s">
        <v>154</v>
      </c>
      <c r="G34" s="26">
        <v>0</v>
      </c>
      <c r="H34" s="26" t="s">
        <v>161</v>
      </c>
      <c r="J34" s="103"/>
      <c r="L34" s="113"/>
      <c r="M34" s="116" t="s">
        <v>161</v>
      </c>
      <c r="N34" s="113">
        <f>SUMIF(Resistencia_Elemental[Aplicável?],"SIM",Resistencia_Elemental[RD (n°)])+SUMIF(Resistencia_Fisico[Aplicável?],"SIM",Resistencia_Fisico[RD (n°)])</f>
        <v>0</v>
      </c>
      <c r="O34" s="116" t="s">
        <v>161</v>
      </c>
      <c r="P34" s="113">
        <f>(($L$34-$N$34) / IF($M$34="SIM",2,1)) - IF(O34 = "SIM",L53,0)</f>
        <v>0</v>
      </c>
    </row>
    <row r="35" spans="2:16" ht="14.4" customHeight="1" x14ac:dyDescent="0.3">
      <c r="B35" s="10"/>
      <c r="C35" s="61"/>
      <c r="D35" s="11"/>
      <c r="F35" s="75" t="s">
        <v>93</v>
      </c>
      <c r="G35" s="26">
        <v>0</v>
      </c>
      <c r="H35" s="26" t="s">
        <v>161</v>
      </c>
      <c r="J35" s="103"/>
      <c r="L35" s="114"/>
      <c r="M35" s="117"/>
      <c r="N35" s="114"/>
      <c r="O35" s="117"/>
      <c r="P35" s="114"/>
    </row>
    <row r="36" spans="2:16" ht="14.4" customHeight="1" x14ac:dyDescent="0.3">
      <c r="B36" s="10"/>
      <c r="C36" s="26"/>
      <c r="D36" s="11"/>
      <c r="F36" s="75" t="s">
        <v>157</v>
      </c>
      <c r="G36" s="26">
        <v>0</v>
      </c>
      <c r="H36" s="26" t="s">
        <v>161</v>
      </c>
      <c r="J36" s="103"/>
      <c r="L36" s="114"/>
      <c r="M36" s="117"/>
      <c r="N36" s="114"/>
      <c r="O36" s="117"/>
      <c r="P36" s="114"/>
    </row>
    <row r="37" spans="2:16" ht="14.4" customHeight="1" x14ac:dyDescent="0.3">
      <c r="B37" s="10"/>
      <c r="C37" s="26"/>
      <c r="D37" s="11"/>
      <c r="F37" s="75" t="s">
        <v>19</v>
      </c>
      <c r="G37" s="26">
        <v>0</v>
      </c>
      <c r="H37" s="26" t="s">
        <v>161</v>
      </c>
      <c r="J37" s="103"/>
      <c r="L37" s="114"/>
      <c r="M37" s="117"/>
      <c r="N37" s="114"/>
      <c r="O37" s="117"/>
      <c r="P37" s="114"/>
    </row>
    <row r="38" spans="2:16" ht="14.4" customHeight="1" x14ac:dyDescent="0.3">
      <c r="B38" s="10"/>
      <c r="C38" s="26"/>
      <c r="D38" s="11"/>
      <c r="F38" s="75" t="s">
        <v>153</v>
      </c>
      <c r="G38" s="26">
        <v>0</v>
      </c>
      <c r="H38" s="26" t="s">
        <v>161</v>
      </c>
      <c r="J38" s="103"/>
      <c r="L38" s="114"/>
      <c r="M38" s="117"/>
      <c r="N38" s="114"/>
      <c r="O38" s="117"/>
      <c r="P38" s="114"/>
    </row>
    <row r="39" spans="2:16" ht="14.4" customHeight="1" x14ac:dyDescent="0.3">
      <c r="B39" s="10"/>
      <c r="C39" s="26"/>
      <c r="D39" s="11"/>
      <c r="F39" s="75" t="s">
        <v>155</v>
      </c>
      <c r="G39" s="26">
        <v>0</v>
      </c>
      <c r="H39" s="26" t="s">
        <v>161</v>
      </c>
      <c r="J39" s="103"/>
      <c r="L39" s="114"/>
      <c r="M39" s="117"/>
      <c r="N39" s="114"/>
      <c r="O39" s="117"/>
      <c r="P39" s="114"/>
    </row>
    <row r="40" spans="2:16" ht="15" customHeight="1" thickBot="1" x14ac:dyDescent="0.35">
      <c r="B40" s="12"/>
      <c r="C40" s="97"/>
      <c r="D40" s="13"/>
      <c r="F40" s="75" t="s">
        <v>156</v>
      </c>
      <c r="G40" s="26">
        <v>0</v>
      </c>
      <c r="H40" s="26" t="s">
        <v>161</v>
      </c>
      <c r="J40" s="104"/>
      <c r="L40" s="115"/>
      <c r="M40" s="118"/>
      <c r="N40" s="115"/>
      <c r="O40" s="118"/>
      <c r="P40" s="115"/>
    </row>
    <row r="41" spans="2:16" ht="15" thickBot="1" x14ac:dyDescent="0.35">
      <c r="C41" s="26"/>
    </row>
    <row r="42" spans="2:16" ht="16.5" customHeight="1" thickBot="1" x14ac:dyDescent="0.35">
      <c r="B42" s="148" t="s">
        <v>8</v>
      </c>
      <c r="C42" s="149"/>
      <c r="D42" s="150"/>
      <c r="F42" s="72" t="s">
        <v>166</v>
      </c>
      <c r="G42" s="73" t="s">
        <v>159</v>
      </c>
      <c r="H42" s="74" t="s">
        <v>158</v>
      </c>
      <c r="J42" s="102" t="s">
        <v>181</v>
      </c>
      <c r="L42" s="76" t="s">
        <v>179</v>
      </c>
      <c r="M42" s="77" t="s">
        <v>184</v>
      </c>
      <c r="N42" s="123" t="s">
        <v>179</v>
      </c>
      <c r="O42" s="124"/>
    </row>
    <row r="43" spans="2:16" ht="15" customHeight="1" thickTop="1" x14ac:dyDescent="0.3">
      <c r="B43" s="7" t="s">
        <v>10</v>
      </c>
      <c r="C43" s="8" t="s">
        <v>147</v>
      </c>
      <c r="D43" s="9" t="s">
        <v>148</v>
      </c>
      <c r="F43" s="75" t="s">
        <v>168</v>
      </c>
      <c r="G43" s="26">
        <v>0</v>
      </c>
      <c r="H43" s="26" t="s">
        <v>161</v>
      </c>
      <c r="J43" s="103"/>
      <c r="L43" s="94" t="s">
        <v>189</v>
      </c>
      <c r="M43" s="94"/>
      <c r="N43" s="119" t="s">
        <v>219</v>
      </c>
      <c r="O43" s="120"/>
    </row>
    <row r="44" spans="2:16" ht="15.6" customHeight="1" x14ac:dyDescent="0.3">
      <c r="B44" s="58"/>
      <c r="C44" s="59">
        <v>0.05</v>
      </c>
      <c r="D44" s="60" t="s">
        <v>149</v>
      </c>
      <c r="F44" s="75" t="s">
        <v>170</v>
      </c>
      <c r="G44" s="26">
        <v>0</v>
      </c>
      <c r="H44" s="26" t="s">
        <v>161</v>
      </c>
      <c r="J44" s="103"/>
      <c r="L44" s="76" t="s">
        <v>180</v>
      </c>
      <c r="M44" s="76"/>
      <c r="N44" s="119"/>
      <c r="O44" s="120"/>
    </row>
    <row r="45" spans="2:16" ht="15" customHeight="1" x14ac:dyDescent="0.3">
      <c r="B45" s="10"/>
      <c r="C45" s="61">
        <v>0.15</v>
      </c>
      <c r="D45" s="62" t="s">
        <v>149</v>
      </c>
      <c r="F45" s="75" t="s">
        <v>114</v>
      </c>
      <c r="G45" s="26">
        <v>0</v>
      </c>
      <c r="H45" s="26" t="s">
        <v>161</v>
      </c>
      <c r="J45" s="103"/>
      <c r="L45" s="95"/>
      <c r="M45" s="96"/>
      <c r="N45" s="119"/>
      <c r="O45" s="120"/>
    </row>
    <row r="46" spans="2:16" ht="15.6" customHeight="1" x14ac:dyDescent="0.3">
      <c r="B46" s="10"/>
      <c r="C46" s="61">
        <v>0.25</v>
      </c>
      <c r="D46" s="63" t="s">
        <v>149</v>
      </c>
      <c r="F46" s="75" t="s">
        <v>169</v>
      </c>
      <c r="G46" s="26">
        <v>0</v>
      </c>
      <c r="H46" s="26" t="s">
        <v>161</v>
      </c>
      <c r="J46" s="103"/>
      <c r="L46" s="76" t="s">
        <v>11</v>
      </c>
      <c r="M46" s="76"/>
      <c r="N46" s="119"/>
      <c r="O46" s="120"/>
    </row>
    <row r="47" spans="2:16" ht="15" customHeight="1" x14ac:dyDescent="0.3">
      <c r="B47" s="10"/>
      <c r="C47" s="61">
        <v>0.35</v>
      </c>
      <c r="D47" s="63" t="s">
        <v>150</v>
      </c>
      <c r="F47" s="75" t="s">
        <v>173</v>
      </c>
      <c r="G47" s="26">
        <v>0</v>
      </c>
      <c r="H47" s="26" t="s">
        <v>161</v>
      </c>
      <c r="J47" s="103"/>
      <c r="L47" s="95"/>
      <c r="M47" s="96"/>
      <c r="N47" s="119"/>
      <c r="O47" s="120"/>
    </row>
    <row r="48" spans="2:16" ht="15.6" customHeight="1" x14ac:dyDescent="0.3">
      <c r="B48" s="10"/>
      <c r="C48" s="61">
        <v>0.45</v>
      </c>
      <c r="D48" s="63" t="s">
        <v>150</v>
      </c>
      <c r="F48" s="75" t="s">
        <v>167</v>
      </c>
      <c r="G48" s="26">
        <v>0</v>
      </c>
      <c r="H48" s="26" t="s">
        <v>161</v>
      </c>
      <c r="J48" s="103"/>
      <c r="L48" s="76" t="s">
        <v>182</v>
      </c>
      <c r="M48" s="76" t="s">
        <v>214</v>
      </c>
      <c r="N48" s="119"/>
      <c r="O48" s="120"/>
    </row>
    <row r="49" spans="2:16" ht="15" customHeight="1" x14ac:dyDescent="0.3">
      <c r="B49" s="10"/>
      <c r="C49" s="61">
        <v>0.55000000000000004</v>
      </c>
      <c r="D49" s="62" t="s">
        <v>151</v>
      </c>
      <c r="F49" s="75" t="s">
        <v>171</v>
      </c>
      <c r="G49" s="26">
        <v>0</v>
      </c>
      <c r="H49" s="26" t="s">
        <v>161</v>
      </c>
      <c r="J49" s="103"/>
      <c r="L49" s="95"/>
      <c r="M49" s="94"/>
      <c r="N49" s="119"/>
      <c r="O49" s="120"/>
    </row>
    <row r="50" spans="2:16" ht="15.6" customHeight="1" thickBot="1" x14ac:dyDescent="0.35">
      <c r="B50" s="10"/>
      <c r="C50" s="61">
        <v>0.65</v>
      </c>
      <c r="D50" s="63" t="s">
        <v>151</v>
      </c>
      <c r="F50" s="75" t="s">
        <v>172</v>
      </c>
      <c r="G50" s="26">
        <v>0</v>
      </c>
      <c r="H50" s="26" t="s">
        <v>161</v>
      </c>
      <c r="J50" s="104"/>
      <c r="L50" s="76"/>
      <c r="M50" s="76"/>
      <c r="N50" s="121"/>
      <c r="O50" s="122"/>
    </row>
    <row r="51" spans="2:16" ht="15" thickBot="1" x14ac:dyDescent="0.35">
      <c r="B51" s="10"/>
      <c r="C51" s="61">
        <v>0.75</v>
      </c>
      <c r="D51" s="63" t="s">
        <v>176</v>
      </c>
    </row>
    <row r="52" spans="2:16" ht="15.6" thickBot="1" x14ac:dyDescent="0.35">
      <c r="B52" s="10"/>
      <c r="C52" s="61">
        <v>0.85</v>
      </c>
      <c r="D52" s="63" t="s">
        <v>175</v>
      </c>
      <c r="F52" s="87" t="s">
        <v>213</v>
      </c>
      <c r="G52" s="111" t="s">
        <v>212</v>
      </c>
      <c r="H52" s="112"/>
      <c r="J52" s="102" t="s">
        <v>199</v>
      </c>
      <c r="L52" s="76" t="s">
        <v>196</v>
      </c>
      <c r="N52" s="76" t="s">
        <v>197</v>
      </c>
      <c r="P52" s="76" t="s">
        <v>198</v>
      </c>
    </row>
    <row r="53" spans="2:16" ht="14.4" customHeight="1" x14ac:dyDescent="0.3">
      <c r="B53" s="10"/>
      <c r="C53" s="61">
        <v>0.95</v>
      </c>
      <c r="D53" s="63" t="s">
        <v>177</v>
      </c>
      <c r="F53" s="98">
        <v>0</v>
      </c>
      <c r="G53" s="105">
        <f>F53 + COUNTA(Passagem!B3:B22)</f>
        <v>0</v>
      </c>
      <c r="H53" s="106"/>
      <c r="J53" s="103"/>
      <c r="L53" s="98">
        <f>$P$3 + IF($T$10 = "Calejado", 2, IF($T$10 = "Experiente", 3, IF($T$10="Mestre",4,0))) + IF(G20 = "Robusto",P8,0)</f>
        <v>0</v>
      </c>
      <c r="N53" s="98" t="s">
        <v>161</v>
      </c>
      <c r="P53" s="98">
        <f>5 + VLOOKUP("Percepção", Atributos[], 5, TRUE)</f>
        <v>5</v>
      </c>
    </row>
    <row r="54" spans="2:16" ht="14.4" customHeight="1" x14ac:dyDescent="0.3">
      <c r="B54" s="10"/>
      <c r="C54" s="61" t="s">
        <v>178</v>
      </c>
      <c r="D54" s="63"/>
      <c r="F54" s="99"/>
      <c r="G54" s="107"/>
      <c r="H54" s="108"/>
      <c r="J54" s="103"/>
      <c r="L54" s="99"/>
      <c r="N54" s="99"/>
      <c r="P54" s="99"/>
    </row>
    <row r="55" spans="2:16" ht="14.4" customHeight="1" x14ac:dyDescent="0.3">
      <c r="B55" s="10"/>
      <c r="C55" s="61" t="s">
        <v>178</v>
      </c>
      <c r="D55" s="63"/>
      <c r="F55" s="99"/>
      <c r="G55" s="107"/>
      <c r="H55" s="108"/>
      <c r="J55" s="103"/>
      <c r="L55" s="99"/>
      <c r="N55" s="99"/>
      <c r="P55" s="99"/>
    </row>
    <row r="56" spans="2:16" ht="14.4" customHeight="1" x14ac:dyDescent="0.3">
      <c r="B56" s="10"/>
      <c r="C56" s="61" t="s">
        <v>178</v>
      </c>
      <c r="D56" s="63"/>
      <c r="F56" s="99"/>
      <c r="G56" s="107"/>
      <c r="H56" s="108"/>
      <c r="J56" s="103"/>
      <c r="L56" s="99"/>
      <c r="N56" s="99"/>
      <c r="P56" s="99"/>
    </row>
    <row r="57" spans="2:16" ht="14.4" customHeight="1" x14ac:dyDescent="0.3">
      <c r="B57" s="10"/>
      <c r="C57" s="61" t="s">
        <v>178</v>
      </c>
      <c r="D57" s="63"/>
      <c r="F57" s="99"/>
      <c r="G57" s="107"/>
      <c r="H57" s="108"/>
      <c r="J57" s="103"/>
      <c r="L57" s="99"/>
      <c r="N57" s="99"/>
      <c r="P57" s="99"/>
    </row>
    <row r="58" spans="2:16" ht="15" customHeight="1" thickBot="1" x14ac:dyDescent="0.35">
      <c r="B58" s="10"/>
      <c r="C58" s="61" t="s">
        <v>178</v>
      </c>
      <c r="D58" s="63"/>
      <c r="F58" s="100"/>
      <c r="G58" s="109"/>
      <c r="H58" s="110"/>
      <c r="J58" s="104"/>
      <c r="L58" s="100"/>
      <c r="N58" s="100"/>
      <c r="P58" s="100"/>
    </row>
    <row r="59" spans="2:16" x14ac:dyDescent="0.3">
      <c r="B59" s="10"/>
      <c r="C59" s="61" t="s">
        <v>178</v>
      </c>
      <c r="D59" s="63"/>
    </row>
    <row r="60" spans="2:16" x14ac:dyDescent="0.3">
      <c r="B60" s="10"/>
      <c r="C60" s="61" t="s">
        <v>178</v>
      </c>
      <c r="D60" s="63"/>
    </row>
    <row r="61" spans="2:16" x14ac:dyDescent="0.3">
      <c r="B61" s="10"/>
      <c r="C61" s="61" t="s">
        <v>178</v>
      </c>
      <c r="D61" s="63"/>
    </row>
    <row r="62" spans="2:16" x14ac:dyDescent="0.3">
      <c r="B62" s="10"/>
      <c r="C62" s="61" t="s">
        <v>178</v>
      </c>
      <c r="D62" s="63"/>
    </row>
    <row r="63" spans="2:16" x14ac:dyDescent="0.3">
      <c r="B63" s="12"/>
      <c r="C63" s="64" t="s">
        <v>178</v>
      </c>
      <c r="D63" s="65"/>
    </row>
    <row r="1048576" spans="1:4" x14ac:dyDescent="0.3">
      <c r="A1048576" s="101" t="s">
        <v>215</v>
      </c>
      <c r="B1048576" s="101"/>
      <c r="C1048576">
        <f>(P6 * 2.5)</f>
        <v>0</v>
      </c>
      <c r="D1048576" t="s">
        <v>195</v>
      </c>
    </row>
  </sheetData>
  <mergeCells count="51">
    <mergeCell ref="P17:P20"/>
    <mergeCell ref="O17:O20"/>
    <mergeCell ref="N17:N20"/>
    <mergeCell ref="L17:L20"/>
    <mergeCell ref="M17:M20"/>
    <mergeCell ref="G4:H4"/>
    <mergeCell ref="B42:D42"/>
    <mergeCell ref="G22:H22"/>
    <mergeCell ref="G16:H16"/>
    <mergeCell ref="G18:H18"/>
    <mergeCell ref="B24:D24"/>
    <mergeCell ref="F24:H24"/>
    <mergeCell ref="B2:D22"/>
    <mergeCell ref="F2:H2"/>
    <mergeCell ref="G6:H6"/>
    <mergeCell ref="G8:H8"/>
    <mergeCell ref="G10:H10"/>
    <mergeCell ref="G12:H12"/>
    <mergeCell ref="G14:H14"/>
    <mergeCell ref="P34:P40"/>
    <mergeCell ref="J24:J31"/>
    <mergeCell ref="F25:H31"/>
    <mergeCell ref="G20:H20"/>
    <mergeCell ref="O30:P30"/>
    <mergeCell ref="O31:P31"/>
    <mergeCell ref="L22:P22"/>
    <mergeCell ref="L26:L31"/>
    <mergeCell ref="L24:L25"/>
    <mergeCell ref="O24:P24"/>
    <mergeCell ref="O25:P25"/>
    <mergeCell ref="O26:P26"/>
    <mergeCell ref="O27:P27"/>
    <mergeCell ref="O28:P28"/>
    <mergeCell ref="O29:P29"/>
    <mergeCell ref="J2:J22"/>
    <mergeCell ref="J33:J40"/>
    <mergeCell ref="J42:J50"/>
    <mergeCell ref="N34:N40"/>
    <mergeCell ref="M34:M40"/>
    <mergeCell ref="L34:L40"/>
    <mergeCell ref="N43:O50"/>
    <mergeCell ref="N42:O42"/>
    <mergeCell ref="O34:O40"/>
    <mergeCell ref="L53:L58"/>
    <mergeCell ref="N53:N58"/>
    <mergeCell ref="P53:P58"/>
    <mergeCell ref="A1048576:B1048576"/>
    <mergeCell ref="J52:J58"/>
    <mergeCell ref="F53:F58"/>
    <mergeCell ref="G53:H58"/>
    <mergeCell ref="G52:H52"/>
  </mergeCells>
  <dataValidations count="2">
    <dataValidation type="list" showInputMessage="1" showErrorMessage="1" sqref="L49" xr:uid="{08959939-6A52-44E8-85B5-FE86F357123D}">
      <formula1>$R$3:$R$31</formula1>
    </dataValidation>
    <dataValidation type="list" showInputMessage="1" showErrorMessage="1" sqref="M49" xr:uid="{98A1FF10-7E63-4B46-9CF5-47CD927D1B50}">
      <formula1>$L$3:$L$9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743D23BA-875A-41E5-B597-5B2C8A5A8364}">
          <x14:formula1>
            <xm:f>Treinamento!$A$2:$A$5</xm:f>
          </x14:formula1>
          <xm:sqref>T3:T30</xm:sqref>
        </x14:dataValidation>
        <x14:dataValidation type="list" showInputMessage="1" showErrorMessage="1" xr:uid="{7C1F572E-D245-403E-912B-521986E8EEF5}">
          <x14:formula1>
            <xm:f>'Classe'!$A$2:$A$7</xm:f>
          </x14:formula1>
          <xm:sqref>G18:H18</xm:sqref>
        </x14:dataValidation>
        <x14:dataValidation type="list" allowBlank="1" showInputMessage="1" showErrorMessage="1" xr:uid="{45FE89E6-AF32-41C4-AE90-232DD953B177}">
          <x14:formula1>
            <xm:f>Outros!$A$1:$A$2</xm:f>
          </x14:formula1>
          <xm:sqref>H34:H40 M34 H43:H50 N53:N58 O34</xm:sqref>
        </x14:dataValidation>
        <x14:dataValidation type="list" allowBlank="1" showInputMessage="1" showErrorMessage="1" xr:uid="{13EE3176-652E-4930-84A4-4E6A1054C087}">
          <x14:formula1>
            <xm:f>Outros!$B$1:$B$2</xm:f>
          </x14:formula1>
          <xm:sqref>P16</xm:sqref>
        </x14:dataValidation>
        <x14:dataValidation type="list" showInputMessage="1" showErrorMessage="1" xr:uid="{AD05FC42-F88E-439F-A63A-78FD21B5EA53}">
          <x14:formula1>
            <xm:f>Outros!$E$1:$E$4</xm:f>
          </x14:formula1>
          <xm:sqref>L47</xm:sqref>
        </x14:dataValidation>
        <x14:dataValidation type="list" allowBlank="1" showInputMessage="1" showErrorMessage="1" xr:uid="{269B2922-0116-4447-B26F-2FA8514FDFDD}">
          <x14:formula1>
            <xm:f>Outros!$G$2:$G$10</xm:f>
          </x14:formula1>
          <xm:sqref>L43</xm:sqref>
        </x14:dataValidation>
        <x14:dataValidation type="list" allowBlank="1" showInputMessage="1" showErrorMessage="1" xr:uid="{48253120-69FF-41CD-8739-6F1FB7C35687}">
          <x14:formula1>
            <xm:f>Subclasse!$I:$I</xm:f>
          </x14:formula1>
          <xm:sqref>G20:H20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D9FA25-56CC-4106-B9D4-C4C02432AC94}">
  <dimension ref="A1:I37"/>
  <sheetViews>
    <sheetView workbookViewId="0">
      <selection activeCell="I2" sqref="I2"/>
    </sheetView>
  </sheetViews>
  <sheetFormatPr defaultRowHeight="14.4" x14ac:dyDescent="0.3"/>
  <cols>
    <col min="1" max="1" width="9.6640625" customWidth="1"/>
    <col min="2" max="2" width="20.6640625" bestFit="1" customWidth="1"/>
  </cols>
  <sheetData>
    <row r="1" spans="1:9" x14ac:dyDescent="0.3">
      <c r="A1" t="s">
        <v>26</v>
      </c>
      <c r="B1" t="s">
        <v>220</v>
      </c>
      <c r="I1" t="str" cm="1">
        <f t="array" ref="I1">IFERROR(_xlfn._xlws.FILTER(Tabela10[Subclasse],Tabela10[Classe]=Básico!G18), "Selecione a classe primeiro...")</f>
        <v>Selecione a classe primeiro...</v>
      </c>
    </row>
    <row r="2" spans="1:9" x14ac:dyDescent="0.3">
      <c r="A2" t="s">
        <v>27</v>
      </c>
      <c r="B2" t="s">
        <v>221</v>
      </c>
    </row>
    <row r="3" spans="1:9" x14ac:dyDescent="0.3">
      <c r="A3" t="s">
        <v>27</v>
      </c>
      <c r="B3" t="s">
        <v>222</v>
      </c>
    </row>
    <row r="4" spans="1:9" x14ac:dyDescent="0.3">
      <c r="A4" t="s">
        <v>27</v>
      </c>
      <c r="B4" t="s">
        <v>223</v>
      </c>
    </row>
    <row r="5" spans="1:9" x14ac:dyDescent="0.3">
      <c r="A5" t="s">
        <v>27</v>
      </c>
      <c r="B5" t="s">
        <v>224</v>
      </c>
    </row>
    <row r="6" spans="1:9" x14ac:dyDescent="0.3">
      <c r="A6" t="s">
        <v>27</v>
      </c>
      <c r="B6" t="s">
        <v>225</v>
      </c>
    </row>
    <row r="7" spans="1:9" x14ac:dyDescent="0.3">
      <c r="A7" t="s">
        <v>27</v>
      </c>
      <c r="B7" t="s">
        <v>226</v>
      </c>
    </row>
    <row r="8" spans="1:9" x14ac:dyDescent="0.3">
      <c r="A8" t="s">
        <v>27</v>
      </c>
      <c r="B8" t="s">
        <v>227</v>
      </c>
    </row>
    <row r="9" spans="1:9" x14ac:dyDescent="0.3">
      <c r="A9" t="s">
        <v>27</v>
      </c>
      <c r="B9" t="s">
        <v>228</v>
      </c>
    </row>
    <row r="10" spans="1:9" x14ac:dyDescent="0.3">
      <c r="A10" t="s">
        <v>27</v>
      </c>
      <c r="B10" t="s">
        <v>229</v>
      </c>
    </row>
    <row r="11" spans="1:9" x14ac:dyDescent="0.3">
      <c r="A11" t="s">
        <v>27</v>
      </c>
      <c r="B11" t="s">
        <v>230</v>
      </c>
    </row>
    <row r="12" spans="1:9" x14ac:dyDescent="0.3">
      <c r="A12" t="s">
        <v>27</v>
      </c>
      <c r="B12" t="s">
        <v>231</v>
      </c>
    </row>
    <row r="13" spans="1:9" x14ac:dyDescent="0.3">
      <c r="A13" t="s">
        <v>27</v>
      </c>
      <c r="B13" t="s">
        <v>232</v>
      </c>
    </row>
    <row r="14" spans="1:9" x14ac:dyDescent="0.3">
      <c r="A14" t="s">
        <v>28</v>
      </c>
      <c r="B14" t="s">
        <v>233</v>
      </c>
    </row>
    <row r="15" spans="1:9" x14ac:dyDescent="0.3">
      <c r="A15" t="s">
        <v>28</v>
      </c>
      <c r="B15" t="s">
        <v>234</v>
      </c>
    </row>
    <row r="16" spans="1:9" x14ac:dyDescent="0.3">
      <c r="A16" t="s">
        <v>28</v>
      </c>
      <c r="B16" t="s">
        <v>235</v>
      </c>
    </row>
    <row r="17" spans="1:2" x14ac:dyDescent="0.3">
      <c r="A17" t="s">
        <v>28</v>
      </c>
      <c r="B17" t="s">
        <v>236</v>
      </c>
    </row>
    <row r="18" spans="1:2" x14ac:dyDescent="0.3">
      <c r="A18" t="s">
        <v>28</v>
      </c>
      <c r="B18" t="s">
        <v>237</v>
      </c>
    </row>
    <row r="19" spans="1:2" x14ac:dyDescent="0.3">
      <c r="A19" t="s">
        <v>28</v>
      </c>
      <c r="B19" t="s">
        <v>238</v>
      </c>
    </row>
    <row r="20" spans="1:2" x14ac:dyDescent="0.3">
      <c r="A20" t="s">
        <v>28</v>
      </c>
      <c r="B20" t="s">
        <v>239</v>
      </c>
    </row>
    <row r="21" spans="1:2" x14ac:dyDescent="0.3">
      <c r="A21" t="s">
        <v>28</v>
      </c>
      <c r="B21" t="s">
        <v>240</v>
      </c>
    </row>
    <row r="22" spans="1:2" x14ac:dyDescent="0.3">
      <c r="A22" t="s">
        <v>28</v>
      </c>
      <c r="B22" t="s">
        <v>241</v>
      </c>
    </row>
    <row r="23" spans="1:2" x14ac:dyDescent="0.3">
      <c r="A23" t="s">
        <v>28</v>
      </c>
      <c r="B23" t="s">
        <v>242</v>
      </c>
    </row>
    <row r="24" spans="1:2" x14ac:dyDescent="0.3">
      <c r="A24" t="s">
        <v>28</v>
      </c>
      <c r="B24" t="s">
        <v>243</v>
      </c>
    </row>
    <row r="25" spans="1:2" x14ac:dyDescent="0.3">
      <c r="A25" t="s">
        <v>28</v>
      </c>
      <c r="B25" t="s">
        <v>244</v>
      </c>
    </row>
    <row r="26" spans="1:2" x14ac:dyDescent="0.3">
      <c r="A26" t="s">
        <v>29</v>
      </c>
      <c r="B26" t="s">
        <v>245</v>
      </c>
    </row>
    <row r="27" spans="1:2" x14ac:dyDescent="0.3">
      <c r="A27" t="s">
        <v>29</v>
      </c>
      <c r="B27" t="s">
        <v>246</v>
      </c>
    </row>
    <row r="28" spans="1:2" x14ac:dyDescent="0.3">
      <c r="A28" t="s">
        <v>29</v>
      </c>
      <c r="B28" t="s">
        <v>247</v>
      </c>
    </row>
    <row r="29" spans="1:2" x14ac:dyDescent="0.3">
      <c r="A29" t="s">
        <v>29</v>
      </c>
      <c r="B29" t="s">
        <v>248</v>
      </c>
    </row>
    <row r="30" spans="1:2" x14ac:dyDescent="0.3">
      <c r="A30" t="s">
        <v>29</v>
      </c>
      <c r="B30" t="s">
        <v>249</v>
      </c>
    </row>
    <row r="31" spans="1:2" x14ac:dyDescent="0.3">
      <c r="A31" t="s">
        <v>29</v>
      </c>
      <c r="B31" t="s">
        <v>250</v>
      </c>
    </row>
    <row r="32" spans="1:2" x14ac:dyDescent="0.3">
      <c r="A32" t="s">
        <v>29</v>
      </c>
      <c r="B32" t="s">
        <v>251</v>
      </c>
    </row>
    <row r="33" spans="1:2" x14ac:dyDescent="0.3">
      <c r="A33" t="s">
        <v>29</v>
      </c>
      <c r="B33" t="s">
        <v>252</v>
      </c>
    </row>
    <row r="34" spans="1:2" x14ac:dyDescent="0.3">
      <c r="A34" t="s">
        <v>29</v>
      </c>
      <c r="B34" t="s">
        <v>253</v>
      </c>
    </row>
    <row r="35" spans="1:2" x14ac:dyDescent="0.3">
      <c r="A35" t="s">
        <v>29</v>
      </c>
      <c r="B35" t="s">
        <v>254</v>
      </c>
    </row>
    <row r="36" spans="1:2" x14ac:dyDescent="0.3">
      <c r="A36" t="s">
        <v>29</v>
      </c>
      <c r="B36" t="s">
        <v>255</v>
      </c>
    </row>
    <row r="37" spans="1:2" x14ac:dyDescent="0.3">
      <c r="A37" t="s">
        <v>29</v>
      </c>
      <c r="B37" t="s">
        <v>256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9C691-1EF9-4764-A080-BE553620E14D}">
  <sheetPr codeName="Planilha2"/>
  <dimension ref="B1:P31"/>
  <sheetViews>
    <sheetView topLeftCell="A12" workbookViewId="0">
      <selection activeCell="D22" sqref="D22"/>
    </sheetView>
  </sheetViews>
  <sheetFormatPr defaultRowHeight="14.4" x14ac:dyDescent="0.3"/>
  <cols>
    <col min="1" max="1" width="1.6640625" customWidth="1"/>
    <col min="2" max="2" width="3.6640625" customWidth="1"/>
    <col min="3" max="3" width="1.6640625" customWidth="1"/>
    <col min="4" max="4" width="11.109375" bestFit="1" customWidth="1"/>
    <col min="5" max="11" width="10.6640625" customWidth="1"/>
    <col min="12" max="12" width="11.6640625" bestFit="1" customWidth="1"/>
    <col min="13" max="13" width="1.6640625" customWidth="1"/>
    <col min="14" max="14" width="11.44140625" bestFit="1" customWidth="1"/>
    <col min="15" max="15" width="6.44140625" bestFit="1" customWidth="1"/>
    <col min="16" max="16" width="7.6640625" bestFit="1" customWidth="1"/>
  </cols>
  <sheetData>
    <row r="1" spans="2:16" ht="0.9" customHeight="1" thickBot="1" x14ac:dyDescent="0.35"/>
    <row r="2" spans="2:16" x14ac:dyDescent="0.3">
      <c r="B2" s="144" t="s">
        <v>89</v>
      </c>
      <c r="D2" s="26" t="s">
        <v>10</v>
      </c>
      <c r="E2" s="26" t="s">
        <v>51</v>
      </c>
      <c r="F2" s="26" t="s">
        <v>12</v>
      </c>
      <c r="G2" s="26" t="s">
        <v>90</v>
      </c>
      <c r="H2" s="26" t="s">
        <v>91</v>
      </c>
      <c r="I2" s="26" t="s">
        <v>11</v>
      </c>
      <c r="J2" s="26" t="s">
        <v>92</v>
      </c>
      <c r="K2" s="26" t="s">
        <v>93</v>
      </c>
      <c r="L2" s="26" t="s">
        <v>94</v>
      </c>
    </row>
    <row r="3" spans="2:16" x14ac:dyDescent="0.3">
      <c r="B3" s="145"/>
      <c r="D3" s="26"/>
      <c r="E3" s="26"/>
      <c r="F3" s="26"/>
      <c r="G3" s="26"/>
      <c r="H3" s="56"/>
      <c r="I3" s="26"/>
      <c r="J3" s="56"/>
      <c r="K3" s="26"/>
      <c r="L3" s="26"/>
    </row>
    <row r="4" spans="2:16" x14ac:dyDescent="0.3">
      <c r="B4" s="145"/>
      <c r="D4" s="26"/>
      <c r="E4" s="26"/>
      <c r="F4" s="26"/>
      <c r="G4" s="26"/>
      <c r="H4" s="26"/>
      <c r="I4" s="26"/>
      <c r="J4" s="26"/>
      <c r="K4" s="26"/>
      <c r="L4" s="26"/>
    </row>
    <row r="5" spans="2:16" ht="15" thickBot="1" x14ac:dyDescent="0.35">
      <c r="B5" s="145"/>
    </row>
    <row r="6" spans="2:16" ht="16.2" thickBot="1" x14ac:dyDescent="0.35">
      <c r="B6" s="145"/>
      <c r="D6" s="180" t="s">
        <v>131</v>
      </c>
      <c r="E6" s="181"/>
      <c r="F6" s="181"/>
      <c r="G6" s="181"/>
      <c r="H6" s="181"/>
      <c r="I6" s="181"/>
      <c r="J6" s="181"/>
      <c r="K6" s="181"/>
      <c r="L6" s="182"/>
    </row>
    <row r="7" spans="2:16" ht="50.1" customHeight="1" thickBot="1" x14ac:dyDescent="0.35">
      <c r="B7" s="145"/>
      <c r="D7" s="183"/>
      <c r="E7" s="184"/>
      <c r="F7" s="184"/>
      <c r="G7" s="184"/>
      <c r="H7" s="184"/>
      <c r="I7" s="184"/>
      <c r="J7" s="184"/>
      <c r="K7" s="184"/>
      <c r="L7" s="185"/>
    </row>
    <row r="8" spans="2:16" ht="50.1" customHeight="1" thickBot="1" x14ac:dyDescent="0.35">
      <c r="B8" s="145"/>
      <c r="D8" s="183"/>
      <c r="E8" s="184"/>
      <c r="F8" s="184"/>
      <c r="G8" s="184"/>
      <c r="H8" s="184"/>
      <c r="I8" s="184"/>
      <c r="J8" s="184"/>
      <c r="K8" s="184"/>
      <c r="L8" s="185"/>
    </row>
    <row r="9" spans="2:16" ht="15" thickBot="1" x14ac:dyDescent="0.35">
      <c r="B9" s="145"/>
    </row>
    <row r="10" spans="2:16" ht="16.2" thickBot="1" x14ac:dyDescent="0.35">
      <c r="B10" s="145"/>
      <c r="D10" s="180" t="s">
        <v>96</v>
      </c>
      <c r="E10" s="182"/>
      <c r="F10" s="180" t="s">
        <v>97</v>
      </c>
      <c r="G10" s="182"/>
      <c r="I10" s="43" t="s">
        <v>98</v>
      </c>
      <c r="J10" s="44" t="s">
        <v>99</v>
      </c>
      <c r="K10" s="44" t="s">
        <v>51</v>
      </c>
      <c r="L10" s="45" t="s">
        <v>93</v>
      </c>
    </row>
    <row r="11" spans="2:16" x14ac:dyDescent="0.3">
      <c r="B11" s="145"/>
      <c r="D11" s="186">
        <f>7+IF(Básico!P3&gt;0,Básico!P3*2,Básico!P3)</f>
        <v>7</v>
      </c>
      <c r="E11" s="187"/>
      <c r="F11" s="186">
        <f>D11-SUM(Armamento[Espaço])-SUM(Defesa[Espaço])-SUM(Acessórios[Espaço])</f>
        <v>7</v>
      </c>
      <c r="G11" s="187"/>
      <c r="I11" s="46"/>
      <c r="J11" s="47" t="s">
        <v>144</v>
      </c>
      <c r="K11" s="47" t="s">
        <v>144</v>
      </c>
      <c r="L11" s="48" t="s">
        <v>144</v>
      </c>
    </row>
    <row r="12" spans="2:16" ht="15" thickBot="1" x14ac:dyDescent="0.35">
      <c r="B12" s="146"/>
      <c r="D12" s="188"/>
      <c r="E12" s="189"/>
      <c r="F12" s="188"/>
      <c r="G12" s="189"/>
      <c r="I12" s="49"/>
      <c r="J12" s="50" t="s">
        <v>144</v>
      </c>
      <c r="K12" s="50" t="s">
        <v>144</v>
      </c>
      <c r="L12" s="51" t="s">
        <v>144</v>
      </c>
    </row>
    <row r="13" spans="2:16" ht="15" thickBot="1" x14ac:dyDescent="0.35"/>
    <row r="14" spans="2:16" ht="21" thickBot="1" x14ac:dyDescent="0.35">
      <c r="B14" s="102" t="s">
        <v>100</v>
      </c>
      <c r="D14" s="52" t="s">
        <v>101</v>
      </c>
      <c r="E14" s="53" t="s">
        <v>102</v>
      </c>
      <c r="F14" s="53" t="s">
        <v>14</v>
      </c>
      <c r="G14" s="54" t="s">
        <v>103</v>
      </c>
      <c r="I14" s="190" t="s">
        <v>143</v>
      </c>
      <c r="J14" s="191"/>
      <c r="K14" s="191"/>
      <c r="L14" s="192"/>
      <c r="N14" s="55"/>
      <c r="O14" s="55"/>
      <c r="P14" s="55"/>
    </row>
    <row r="15" spans="2:16" ht="15" customHeight="1" thickTop="1" x14ac:dyDescent="0.3">
      <c r="B15" s="103"/>
      <c r="D15" s="198" t="str">
        <f>IFERROR(VLOOKUP(Básico!G10,Rank[],3,TRUE),"")</f>
        <v/>
      </c>
      <c r="E15" s="198" t="str">
        <f>IF(D15&lt;&gt;"",SUM(Armamento[Custo])+SUM(Acessórios[Custo])+SUM(Defesa[Custo])+SUM(K16:L31),"")</f>
        <v/>
      </c>
      <c r="F15" s="198"/>
      <c r="G15" s="198" t="str">
        <f>IF(D15&lt;&gt;"",D15-E15-F15,"")</f>
        <v/>
      </c>
      <c r="I15" s="193" t="s">
        <v>10</v>
      </c>
      <c r="J15" s="194"/>
      <c r="K15" s="194" t="s">
        <v>142</v>
      </c>
      <c r="L15" s="195"/>
      <c r="N15" s="55"/>
      <c r="O15" s="55"/>
      <c r="P15" s="55"/>
    </row>
    <row r="16" spans="2:16" ht="15" customHeight="1" x14ac:dyDescent="0.3">
      <c r="B16" s="103"/>
      <c r="D16" s="199"/>
      <c r="E16" s="199"/>
      <c r="F16" s="199"/>
      <c r="G16" s="199"/>
      <c r="I16" s="196"/>
      <c r="J16" s="197"/>
      <c r="K16" s="197"/>
      <c r="L16" s="201"/>
      <c r="N16" s="55"/>
      <c r="O16" s="55"/>
      <c r="P16" s="55"/>
    </row>
    <row r="17" spans="2:16" ht="15" customHeight="1" x14ac:dyDescent="0.3">
      <c r="B17" s="103"/>
      <c r="D17" s="199"/>
      <c r="E17" s="199"/>
      <c r="F17" s="199"/>
      <c r="G17" s="199"/>
      <c r="I17" s="196"/>
      <c r="J17" s="197"/>
      <c r="K17" s="197"/>
      <c r="L17" s="201"/>
      <c r="N17" s="55"/>
      <c r="O17" s="55"/>
      <c r="P17" s="55"/>
    </row>
    <row r="18" spans="2:16" ht="15" customHeight="1" x14ac:dyDescent="0.3">
      <c r="B18" s="103"/>
      <c r="D18" s="199"/>
      <c r="E18" s="199"/>
      <c r="F18" s="199"/>
      <c r="G18" s="199"/>
      <c r="H18" s="57"/>
      <c r="I18" s="196"/>
      <c r="J18" s="197"/>
      <c r="K18" s="197"/>
      <c r="L18" s="201"/>
      <c r="N18" s="55"/>
      <c r="O18" s="55"/>
      <c r="P18" s="55"/>
    </row>
    <row r="19" spans="2:16" ht="15.75" customHeight="1" thickBot="1" x14ac:dyDescent="0.35">
      <c r="B19" s="104"/>
      <c r="D19" s="200"/>
      <c r="E19" s="200"/>
      <c r="F19" s="200"/>
      <c r="G19" s="200"/>
      <c r="I19" s="196"/>
      <c r="J19" s="197"/>
      <c r="K19" s="197"/>
      <c r="L19" s="201"/>
      <c r="N19" s="55"/>
      <c r="O19" s="55"/>
      <c r="P19" s="55"/>
    </row>
    <row r="20" spans="2:16" ht="15.75" customHeight="1" thickBot="1" x14ac:dyDescent="0.35">
      <c r="I20" s="196"/>
      <c r="J20" s="197"/>
      <c r="K20" s="197"/>
      <c r="L20" s="201"/>
    </row>
    <row r="21" spans="2:16" ht="16.5" customHeight="1" thickBot="1" x14ac:dyDescent="0.35">
      <c r="B21" s="102" t="s">
        <v>14</v>
      </c>
      <c r="D21" s="40" t="s">
        <v>95</v>
      </c>
      <c r="E21" s="41" t="s">
        <v>51</v>
      </c>
      <c r="F21" s="42" t="s">
        <v>93</v>
      </c>
      <c r="I21" s="196"/>
      <c r="J21" s="197"/>
      <c r="K21" s="197"/>
      <c r="L21" s="201"/>
    </row>
    <row r="22" spans="2:16" ht="15.75" customHeight="1" thickTop="1" x14ac:dyDescent="0.3">
      <c r="B22" s="103"/>
      <c r="D22" s="26"/>
      <c r="E22" s="26"/>
      <c r="F22" s="26"/>
      <c r="I22" s="196"/>
      <c r="J22" s="197"/>
      <c r="K22" s="197"/>
      <c r="L22" s="201"/>
    </row>
    <row r="23" spans="2:16" ht="15" customHeight="1" x14ac:dyDescent="0.3">
      <c r="B23" s="103"/>
      <c r="D23" s="26"/>
      <c r="E23" s="56"/>
      <c r="F23" s="26"/>
      <c r="I23" s="196"/>
      <c r="J23" s="197"/>
      <c r="K23" s="197"/>
      <c r="L23" s="201"/>
    </row>
    <row r="24" spans="2:16" ht="15" customHeight="1" x14ac:dyDescent="0.3">
      <c r="B24" s="103"/>
      <c r="D24" s="26"/>
      <c r="E24" s="26"/>
      <c r="F24" s="26"/>
      <c r="I24" s="196"/>
      <c r="J24" s="197"/>
      <c r="K24" s="197"/>
      <c r="L24" s="201"/>
    </row>
    <row r="25" spans="2:16" ht="15" customHeight="1" x14ac:dyDescent="0.3">
      <c r="B25" s="103"/>
      <c r="D25" s="26"/>
      <c r="E25" s="26"/>
      <c r="F25" s="26"/>
      <c r="I25" s="196"/>
      <c r="J25" s="197"/>
      <c r="K25" s="197"/>
      <c r="L25" s="201"/>
    </row>
    <row r="26" spans="2:16" ht="15.75" customHeight="1" x14ac:dyDescent="0.3">
      <c r="B26" s="103"/>
      <c r="D26" s="26"/>
      <c r="E26" s="26"/>
      <c r="F26" s="26"/>
      <c r="I26" s="196"/>
      <c r="J26" s="197"/>
      <c r="K26" s="197"/>
      <c r="L26" s="201"/>
    </row>
    <row r="27" spans="2:16" ht="15" customHeight="1" x14ac:dyDescent="0.3">
      <c r="B27" s="103"/>
      <c r="D27" s="26"/>
      <c r="E27" s="26"/>
      <c r="F27" s="26"/>
      <c r="I27" s="196"/>
      <c r="J27" s="197"/>
      <c r="K27" s="197"/>
      <c r="L27" s="201"/>
    </row>
    <row r="28" spans="2:16" ht="15" customHeight="1" x14ac:dyDescent="0.3">
      <c r="B28" s="103"/>
      <c r="D28" s="26"/>
      <c r="E28" s="26"/>
      <c r="F28" s="26"/>
      <c r="I28" s="196"/>
      <c r="J28" s="197"/>
      <c r="K28" s="197"/>
      <c r="L28" s="201"/>
    </row>
    <row r="29" spans="2:16" ht="15" customHeight="1" x14ac:dyDescent="0.3">
      <c r="B29" s="103"/>
      <c r="D29" s="26"/>
      <c r="E29" s="26"/>
      <c r="F29" s="26"/>
      <c r="I29" s="196"/>
      <c r="J29" s="197"/>
      <c r="K29" s="197"/>
      <c r="L29" s="201"/>
    </row>
    <row r="30" spans="2:16" ht="15" customHeight="1" x14ac:dyDescent="0.3">
      <c r="B30" s="103"/>
      <c r="D30" s="26"/>
      <c r="E30" s="26"/>
      <c r="F30" s="26"/>
      <c r="I30" s="196"/>
      <c r="J30" s="197"/>
      <c r="K30" s="197"/>
      <c r="L30" s="201"/>
    </row>
    <row r="31" spans="2:16" ht="15.75" customHeight="1" thickBot="1" x14ac:dyDescent="0.35">
      <c r="B31" s="104"/>
      <c r="D31" s="26"/>
      <c r="E31" s="26"/>
      <c r="F31" s="26"/>
      <c r="I31" s="202"/>
      <c r="J31" s="203"/>
      <c r="K31" s="203"/>
      <c r="L31" s="204"/>
    </row>
  </sheetData>
  <mergeCells count="49">
    <mergeCell ref="I31:J31"/>
    <mergeCell ref="K31:L31"/>
    <mergeCell ref="I27:J27"/>
    <mergeCell ref="K27:L27"/>
    <mergeCell ref="I28:J28"/>
    <mergeCell ref="K28:L28"/>
    <mergeCell ref="I29:J29"/>
    <mergeCell ref="K29:L29"/>
    <mergeCell ref="I25:J25"/>
    <mergeCell ref="K25:L25"/>
    <mergeCell ref="I26:J26"/>
    <mergeCell ref="K26:L26"/>
    <mergeCell ref="I30:J30"/>
    <mergeCell ref="K30:L30"/>
    <mergeCell ref="I22:J22"/>
    <mergeCell ref="K22:L22"/>
    <mergeCell ref="I23:J23"/>
    <mergeCell ref="K23:L23"/>
    <mergeCell ref="I24:J24"/>
    <mergeCell ref="K24:L24"/>
    <mergeCell ref="K19:L19"/>
    <mergeCell ref="I20:J20"/>
    <mergeCell ref="K20:L20"/>
    <mergeCell ref="I21:J21"/>
    <mergeCell ref="K21:L21"/>
    <mergeCell ref="B21:B31"/>
    <mergeCell ref="I14:L14"/>
    <mergeCell ref="I15:J15"/>
    <mergeCell ref="K15:L15"/>
    <mergeCell ref="I16:J16"/>
    <mergeCell ref="B14:B19"/>
    <mergeCell ref="D15:D19"/>
    <mergeCell ref="E15:E19"/>
    <mergeCell ref="F15:F19"/>
    <mergeCell ref="G15:G19"/>
    <mergeCell ref="K16:L16"/>
    <mergeCell ref="I17:J17"/>
    <mergeCell ref="K17:L17"/>
    <mergeCell ref="I18:J18"/>
    <mergeCell ref="K18:L18"/>
    <mergeCell ref="I19:J19"/>
    <mergeCell ref="B2:B12"/>
    <mergeCell ref="D6:L6"/>
    <mergeCell ref="D7:L7"/>
    <mergeCell ref="D8:L8"/>
    <mergeCell ref="D10:E10"/>
    <mergeCell ref="F10:G10"/>
    <mergeCell ref="D11:E12"/>
    <mergeCell ref="F11:G12"/>
  </mergeCells>
  <pageMargins left="0.511811024" right="0.511811024" top="0.78740157499999996" bottom="0.78740157499999996" header="0.31496062000000002" footer="0.31496062000000002"/>
  <tableParts count="3">
    <tablePart r:id="rId1"/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101541-55EF-4ADE-8B66-43CAD9A1B12F}">
  <sheetPr codeName="Planilha8"/>
  <dimension ref="B1:P27"/>
  <sheetViews>
    <sheetView zoomScale="90" zoomScaleNormal="90" workbookViewId="0">
      <selection activeCell="D13" sqref="D13"/>
    </sheetView>
  </sheetViews>
  <sheetFormatPr defaultRowHeight="14.4" x14ac:dyDescent="0.3"/>
  <cols>
    <col min="1" max="1" width="3.33203125" customWidth="1"/>
    <col min="2" max="2" width="30.77734375" customWidth="1"/>
    <col min="3" max="3" width="16.109375" bestFit="1" customWidth="1"/>
    <col min="4" max="7" width="20.77734375" customWidth="1"/>
  </cols>
  <sheetData>
    <row r="1" spans="2:16" ht="10.050000000000001" customHeight="1" thickBot="1" x14ac:dyDescent="0.35"/>
    <row r="2" spans="2:16" ht="30" customHeight="1" x14ac:dyDescent="0.3">
      <c r="B2" s="78" t="s">
        <v>200</v>
      </c>
      <c r="C2" s="80" t="s">
        <v>204</v>
      </c>
      <c r="D2" s="79" t="s">
        <v>201</v>
      </c>
      <c r="E2" s="79" t="s">
        <v>202</v>
      </c>
      <c r="F2" s="205" t="s">
        <v>203</v>
      </c>
      <c r="G2" s="206"/>
      <c r="I2" s="213" t="s">
        <v>206</v>
      </c>
      <c r="J2" s="214"/>
      <c r="L2" s="213" t="s">
        <v>207</v>
      </c>
      <c r="M2" s="214"/>
      <c r="O2" s="213" t="s">
        <v>208</v>
      </c>
      <c r="P2" s="214"/>
    </row>
    <row r="3" spans="2:16" ht="15" customHeight="1" x14ac:dyDescent="0.3">
      <c r="B3" s="84"/>
      <c r="C3" s="81">
        <v>0.05</v>
      </c>
      <c r="D3" s="88"/>
      <c r="E3" s="89"/>
      <c r="F3" s="207"/>
      <c r="G3" s="208"/>
      <c r="I3" s="215"/>
      <c r="J3" s="216"/>
      <c r="L3" s="215"/>
      <c r="M3" s="216"/>
      <c r="O3" s="215"/>
      <c r="P3" s="216"/>
    </row>
    <row r="4" spans="2:16" ht="15" customHeight="1" x14ac:dyDescent="0.3">
      <c r="B4" s="85"/>
      <c r="C4" s="82">
        <v>0.1</v>
      </c>
      <c r="D4" s="90"/>
      <c r="E4" s="91"/>
      <c r="F4" s="209"/>
      <c r="G4" s="210"/>
      <c r="I4" s="217">
        <v>0</v>
      </c>
      <c r="J4" s="218"/>
      <c r="L4" s="233">
        <v>0</v>
      </c>
      <c r="M4" s="234"/>
      <c r="O4" s="237">
        <v>0</v>
      </c>
      <c r="P4" s="238"/>
    </row>
    <row r="5" spans="2:16" ht="15" customHeight="1" x14ac:dyDescent="0.3">
      <c r="B5" s="84"/>
      <c r="C5" s="81">
        <v>0.15</v>
      </c>
      <c r="D5" s="88"/>
      <c r="E5" s="89"/>
      <c r="F5" s="207"/>
      <c r="G5" s="208"/>
      <c r="I5" s="217"/>
      <c r="J5" s="218"/>
      <c r="L5" s="233"/>
      <c r="M5" s="234"/>
      <c r="O5" s="237"/>
      <c r="P5" s="238"/>
    </row>
    <row r="6" spans="2:16" ht="15" customHeight="1" x14ac:dyDescent="0.3">
      <c r="B6" s="85"/>
      <c r="C6" s="82">
        <v>0.2</v>
      </c>
      <c r="D6" s="90"/>
      <c r="E6" s="91"/>
      <c r="F6" s="209"/>
      <c r="G6" s="210"/>
      <c r="I6" s="217"/>
      <c r="J6" s="218"/>
      <c r="L6" s="233"/>
      <c r="M6" s="234"/>
      <c r="O6" s="237"/>
      <c r="P6" s="238"/>
    </row>
    <row r="7" spans="2:16" ht="15" customHeight="1" x14ac:dyDescent="0.3">
      <c r="B7" s="84"/>
      <c r="C7" s="81">
        <v>0.25</v>
      </c>
      <c r="D7" s="88"/>
      <c r="E7" s="89"/>
      <c r="F7" s="207"/>
      <c r="G7" s="208"/>
      <c r="I7" s="217"/>
      <c r="J7" s="218"/>
      <c r="L7" s="233"/>
      <c r="M7" s="234"/>
      <c r="O7" s="237"/>
      <c r="P7" s="238"/>
    </row>
    <row r="8" spans="2:16" ht="15" customHeight="1" x14ac:dyDescent="0.3">
      <c r="B8" s="85"/>
      <c r="C8" s="82">
        <v>0.3</v>
      </c>
      <c r="D8" s="90"/>
      <c r="E8" s="91"/>
      <c r="F8" s="209"/>
      <c r="G8" s="210"/>
      <c r="I8" s="217"/>
      <c r="J8" s="218"/>
      <c r="L8" s="233"/>
      <c r="M8" s="234"/>
      <c r="O8" s="237"/>
      <c r="P8" s="238"/>
    </row>
    <row r="9" spans="2:16" ht="15" customHeight="1" thickBot="1" x14ac:dyDescent="0.35">
      <c r="B9" s="84"/>
      <c r="C9" s="81">
        <v>0.35</v>
      </c>
      <c r="D9" s="88"/>
      <c r="E9" s="89"/>
      <c r="F9" s="207"/>
      <c r="G9" s="208"/>
      <c r="I9" s="219"/>
      <c r="J9" s="220"/>
      <c r="L9" s="235"/>
      <c r="M9" s="236"/>
      <c r="O9" s="239"/>
      <c r="P9" s="240"/>
    </row>
    <row r="10" spans="2:16" ht="15" customHeight="1" thickBot="1" x14ac:dyDescent="0.35">
      <c r="B10" s="85"/>
      <c r="C10" s="82">
        <v>0.4</v>
      </c>
      <c r="D10" s="90"/>
      <c r="E10" s="91"/>
      <c r="F10" s="209"/>
      <c r="G10" s="210"/>
    </row>
    <row r="11" spans="2:16" ht="15" customHeight="1" x14ac:dyDescent="0.3">
      <c r="B11" s="84"/>
      <c r="C11" s="81">
        <v>0.45</v>
      </c>
      <c r="D11" s="88"/>
      <c r="E11" s="89"/>
      <c r="F11" s="207"/>
      <c r="G11" s="208"/>
      <c r="L11" s="213" t="s">
        <v>205</v>
      </c>
      <c r="M11" s="214"/>
    </row>
    <row r="12" spans="2:16" ht="15" customHeight="1" thickBot="1" x14ac:dyDescent="0.35">
      <c r="B12" s="85"/>
      <c r="C12" s="82">
        <v>0.5</v>
      </c>
      <c r="D12" s="90"/>
      <c r="E12" s="91"/>
      <c r="F12" s="209"/>
      <c r="G12" s="210"/>
      <c r="L12" s="215"/>
      <c r="M12" s="216"/>
    </row>
    <row r="13" spans="2:16" ht="15" customHeight="1" x14ac:dyDescent="0.3">
      <c r="B13" s="84"/>
      <c r="C13" s="81">
        <v>0.55000000000000004</v>
      </c>
      <c r="D13" s="88"/>
      <c r="E13" s="89"/>
      <c r="F13" s="207"/>
      <c r="G13" s="208"/>
      <c r="I13" s="213" t="s">
        <v>211</v>
      </c>
      <c r="J13" s="214"/>
      <c r="L13" s="241">
        <v>0</v>
      </c>
      <c r="M13" s="242"/>
      <c r="O13" s="213" t="s">
        <v>209</v>
      </c>
      <c r="P13" s="214"/>
    </row>
    <row r="14" spans="2:16" ht="15" customHeight="1" x14ac:dyDescent="0.3">
      <c r="B14" s="85"/>
      <c r="C14" s="82">
        <v>0.6</v>
      </c>
      <c r="D14" s="90"/>
      <c r="E14" s="91"/>
      <c r="F14" s="209"/>
      <c r="G14" s="210"/>
      <c r="I14" s="215"/>
      <c r="J14" s="216"/>
      <c r="L14" s="241"/>
      <c r="M14" s="242"/>
      <c r="O14" s="215"/>
      <c r="P14" s="216"/>
    </row>
    <row r="15" spans="2:16" ht="15" customHeight="1" x14ac:dyDescent="0.3">
      <c r="B15" s="84"/>
      <c r="C15" s="81">
        <v>0.65</v>
      </c>
      <c r="D15" s="88"/>
      <c r="E15" s="89"/>
      <c r="F15" s="207"/>
      <c r="G15" s="208"/>
      <c r="I15" s="221">
        <v>0</v>
      </c>
      <c r="J15" s="222"/>
      <c r="L15" s="241"/>
      <c r="M15" s="242"/>
      <c r="O15" s="225">
        <v>0</v>
      </c>
      <c r="P15" s="226"/>
    </row>
    <row r="16" spans="2:16" ht="15" customHeight="1" x14ac:dyDescent="0.3">
      <c r="B16" s="85"/>
      <c r="C16" s="82">
        <v>0.7</v>
      </c>
      <c r="D16" s="90"/>
      <c r="E16" s="91"/>
      <c r="F16" s="209"/>
      <c r="G16" s="210"/>
      <c r="I16" s="221"/>
      <c r="J16" s="222"/>
      <c r="L16" s="241"/>
      <c r="M16" s="242"/>
      <c r="O16" s="225"/>
      <c r="P16" s="226"/>
    </row>
    <row r="17" spans="2:16" ht="15" customHeight="1" x14ac:dyDescent="0.3">
      <c r="B17" s="84"/>
      <c r="C17" s="81">
        <v>0.75</v>
      </c>
      <c r="D17" s="88"/>
      <c r="E17" s="89"/>
      <c r="F17" s="207"/>
      <c r="G17" s="208"/>
      <c r="I17" s="221"/>
      <c r="J17" s="222"/>
      <c r="L17" s="241"/>
      <c r="M17" s="242"/>
      <c r="O17" s="225"/>
      <c r="P17" s="226"/>
    </row>
    <row r="18" spans="2:16" ht="15" customHeight="1" thickBot="1" x14ac:dyDescent="0.35">
      <c r="B18" s="85"/>
      <c r="C18" s="82">
        <v>0.8</v>
      </c>
      <c r="D18" s="90"/>
      <c r="E18" s="91"/>
      <c r="F18" s="209"/>
      <c r="G18" s="210"/>
      <c r="I18" s="221"/>
      <c r="J18" s="222"/>
      <c r="L18" s="243"/>
      <c r="M18" s="244"/>
      <c r="O18" s="225"/>
      <c r="P18" s="226"/>
    </row>
    <row r="19" spans="2:16" ht="15" customHeight="1" thickBot="1" x14ac:dyDescent="0.35">
      <c r="B19" s="84"/>
      <c r="C19" s="81">
        <v>0.85</v>
      </c>
      <c r="D19" s="88"/>
      <c r="E19" s="89"/>
      <c r="F19" s="207"/>
      <c r="G19" s="208"/>
      <c r="I19" s="221"/>
      <c r="J19" s="222"/>
      <c r="O19" s="225"/>
      <c r="P19" s="226"/>
    </row>
    <row r="20" spans="2:16" ht="15" customHeight="1" thickBot="1" x14ac:dyDescent="0.35">
      <c r="B20" s="85"/>
      <c r="C20" s="82">
        <v>0.9</v>
      </c>
      <c r="D20" s="90"/>
      <c r="E20" s="91"/>
      <c r="F20" s="209"/>
      <c r="G20" s="210"/>
      <c r="I20" s="223"/>
      <c r="J20" s="224"/>
      <c r="L20" s="213" t="s">
        <v>210</v>
      </c>
      <c r="M20" s="214"/>
      <c r="O20" s="227"/>
      <c r="P20" s="228"/>
    </row>
    <row r="21" spans="2:16" ht="15" customHeight="1" x14ac:dyDescent="0.3">
      <c r="B21" s="84"/>
      <c r="C21" s="81">
        <v>0.95</v>
      </c>
      <c r="D21" s="88"/>
      <c r="E21" s="89"/>
      <c r="F21" s="207"/>
      <c r="G21" s="208"/>
      <c r="L21" s="215"/>
      <c r="M21" s="216"/>
    </row>
    <row r="22" spans="2:16" ht="18" thickBot="1" x14ac:dyDescent="0.35">
      <c r="B22" s="86"/>
      <c r="C22" s="83">
        <v>1</v>
      </c>
      <c r="D22" s="92"/>
      <c r="E22" s="93"/>
      <c r="F22" s="211"/>
      <c r="G22" s="212"/>
      <c r="L22" s="229">
        <v>0</v>
      </c>
      <c r="M22" s="230"/>
    </row>
    <row r="23" spans="2:16" x14ac:dyDescent="0.3">
      <c r="L23" s="229"/>
      <c r="M23" s="230"/>
    </row>
    <row r="24" spans="2:16" x14ac:dyDescent="0.3">
      <c r="L24" s="229"/>
      <c r="M24" s="230"/>
    </row>
    <row r="25" spans="2:16" x14ac:dyDescent="0.3">
      <c r="L25" s="229"/>
      <c r="M25" s="230"/>
    </row>
    <row r="26" spans="2:16" x14ac:dyDescent="0.3">
      <c r="L26" s="229"/>
      <c r="M26" s="230"/>
    </row>
    <row r="27" spans="2:16" ht="15" thickBot="1" x14ac:dyDescent="0.35">
      <c r="L27" s="231"/>
      <c r="M27" s="232"/>
    </row>
  </sheetData>
  <mergeCells count="35">
    <mergeCell ref="L22:M27"/>
    <mergeCell ref="L2:M3"/>
    <mergeCell ref="L4:M9"/>
    <mergeCell ref="O2:P3"/>
    <mergeCell ref="O4:P9"/>
    <mergeCell ref="L11:M12"/>
    <mergeCell ref="L13:M18"/>
    <mergeCell ref="I13:J14"/>
    <mergeCell ref="I15:J20"/>
    <mergeCell ref="O13:P14"/>
    <mergeCell ref="O15:P20"/>
    <mergeCell ref="F20:G20"/>
    <mergeCell ref="L20:M21"/>
    <mergeCell ref="F21:G21"/>
    <mergeCell ref="F22:G22"/>
    <mergeCell ref="I2:J3"/>
    <mergeCell ref="I4:J9"/>
    <mergeCell ref="F14:G14"/>
    <mergeCell ref="F15:G15"/>
    <mergeCell ref="F16:G16"/>
    <mergeCell ref="F17:G17"/>
    <mergeCell ref="F18:G18"/>
    <mergeCell ref="F19:G19"/>
    <mergeCell ref="F8:G8"/>
    <mergeCell ref="F9:G9"/>
    <mergeCell ref="F10:G10"/>
    <mergeCell ref="F11:G11"/>
    <mergeCell ref="F12:G12"/>
    <mergeCell ref="F13:G13"/>
    <mergeCell ref="F7:G7"/>
    <mergeCell ref="F2:G2"/>
    <mergeCell ref="F3:G3"/>
    <mergeCell ref="F4:G4"/>
    <mergeCell ref="F5:G5"/>
    <mergeCell ref="F6:G6"/>
  </mergeCell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F0E6FE-FAF1-4596-BE6E-48F9FAEB8363}">
  <sheetPr codeName="Planilha3"/>
  <dimension ref="A1:G10"/>
  <sheetViews>
    <sheetView workbookViewId="0">
      <selection activeCell="D3" sqref="D3"/>
    </sheetView>
  </sheetViews>
  <sheetFormatPr defaultRowHeight="14.4" x14ac:dyDescent="0.3"/>
  <sheetData>
    <row r="1" spans="1:7" x14ac:dyDescent="0.3">
      <c r="A1" t="s">
        <v>160</v>
      </c>
      <c r="B1" t="s">
        <v>47</v>
      </c>
    </row>
    <row r="2" spans="1:7" x14ac:dyDescent="0.3">
      <c r="A2" t="s">
        <v>161</v>
      </c>
      <c r="B2" t="s">
        <v>174</v>
      </c>
      <c r="E2" t="s">
        <v>12</v>
      </c>
      <c r="G2" t="s">
        <v>185</v>
      </c>
    </row>
    <row r="3" spans="1:7" x14ac:dyDescent="0.3">
      <c r="E3" t="s">
        <v>193</v>
      </c>
      <c r="G3" t="s">
        <v>186</v>
      </c>
    </row>
    <row r="4" spans="1:7" x14ac:dyDescent="0.3">
      <c r="E4" t="s">
        <v>194</v>
      </c>
      <c r="G4" t="s">
        <v>187</v>
      </c>
    </row>
    <row r="5" spans="1:7" x14ac:dyDescent="0.3">
      <c r="G5" t="s">
        <v>183</v>
      </c>
    </row>
    <row r="6" spans="1:7" x14ac:dyDescent="0.3">
      <c r="G6" t="s">
        <v>188</v>
      </c>
    </row>
    <row r="7" spans="1:7" x14ac:dyDescent="0.3">
      <c r="G7" t="s">
        <v>189</v>
      </c>
    </row>
    <row r="8" spans="1:7" x14ac:dyDescent="0.3">
      <c r="G8" t="s">
        <v>190</v>
      </c>
    </row>
    <row r="9" spans="1:7" x14ac:dyDescent="0.3">
      <c r="G9" t="s">
        <v>191</v>
      </c>
    </row>
    <row r="10" spans="1:7" x14ac:dyDescent="0.3">
      <c r="G10" t="s">
        <v>192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674E58-DEAC-40E7-862B-B789E20723ED}">
  <sheetPr codeName="Planilha4"/>
  <dimension ref="A1:C8"/>
  <sheetViews>
    <sheetView workbookViewId="0">
      <selection activeCell="C4" sqref="C4"/>
    </sheetView>
  </sheetViews>
  <sheetFormatPr defaultRowHeight="14.4" x14ac:dyDescent="0.3"/>
  <cols>
    <col min="1" max="1" width="10" bestFit="1" customWidth="1"/>
    <col min="2" max="2" width="14.5546875" bestFit="1" customWidth="1"/>
    <col min="3" max="3" width="12.44140625" bestFit="1" customWidth="1"/>
  </cols>
  <sheetData>
    <row r="1" spans="1:3" x14ac:dyDescent="0.3">
      <c r="A1" s="26" t="s">
        <v>132</v>
      </c>
      <c r="B1" s="26" t="s">
        <v>133</v>
      </c>
      <c r="C1" s="26" t="s">
        <v>100</v>
      </c>
    </row>
    <row r="2" spans="1:3" x14ac:dyDescent="0.3">
      <c r="A2" s="26" t="s">
        <v>138</v>
      </c>
      <c r="B2" s="26">
        <v>200</v>
      </c>
      <c r="C2" s="26">
        <v>120</v>
      </c>
    </row>
    <row r="3" spans="1:3" x14ac:dyDescent="0.3">
      <c r="A3" s="26" t="s">
        <v>137</v>
      </c>
      <c r="B3" s="26">
        <v>100</v>
      </c>
      <c r="C3" s="26">
        <v>80</v>
      </c>
    </row>
    <row r="4" spans="1:3" x14ac:dyDescent="0.3">
      <c r="A4" s="26" t="s">
        <v>136</v>
      </c>
      <c r="B4" s="26">
        <v>50</v>
      </c>
      <c r="C4" s="26">
        <v>60</v>
      </c>
    </row>
    <row r="5" spans="1:3" x14ac:dyDescent="0.3">
      <c r="A5" s="26" t="s">
        <v>135</v>
      </c>
      <c r="B5" s="26">
        <v>20</v>
      </c>
      <c r="C5" s="26">
        <v>40</v>
      </c>
    </row>
    <row r="6" spans="1:3" x14ac:dyDescent="0.3">
      <c r="A6" s="26" t="s">
        <v>134</v>
      </c>
      <c r="B6" s="26">
        <v>0</v>
      </c>
      <c r="C6" s="26">
        <v>20</v>
      </c>
    </row>
    <row r="7" spans="1:3" x14ac:dyDescent="0.3">
      <c r="A7" s="26" t="s">
        <v>139</v>
      </c>
      <c r="B7" s="26">
        <v>500</v>
      </c>
      <c r="C7" s="26">
        <v>200</v>
      </c>
    </row>
    <row r="8" spans="1:3" x14ac:dyDescent="0.3">
      <c r="A8" s="26" t="s">
        <v>140</v>
      </c>
      <c r="B8" s="26">
        <v>1000</v>
      </c>
      <c r="C8" s="26" t="s">
        <v>141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AC2B5F-CCAA-4F35-ABBE-C6E25CFCBB47}">
  <sheetPr codeName="Planilha5">
    <tabColor theme="9" tint="0.59999389629810485"/>
  </sheetPr>
  <dimension ref="A1:B15"/>
  <sheetViews>
    <sheetView topLeftCell="A2" workbookViewId="0">
      <selection activeCell="F3" sqref="F3"/>
    </sheetView>
  </sheetViews>
  <sheetFormatPr defaultRowHeight="14.4" x14ac:dyDescent="0.3"/>
  <cols>
    <col min="1" max="2" width="20.6640625" customWidth="1"/>
  </cols>
  <sheetData>
    <row r="1" spans="1:2" x14ac:dyDescent="0.3">
      <c r="A1" s="26" t="s">
        <v>94</v>
      </c>
      <c r="B1" s="26" t="s">
        <v>9</v>
      </c>
    </row>
    <row r="2" spans="1:2" ht="230.1" customHeight="1" x14ac:dyDescent="0.3">
      <c r="A2" s="26" t="s">
        <v>104</v>
      </c>
      <c r="B2" s="36" t="s">
        <v>105</v>
      </c>
    </row>
    <row r="3" spans="1:2" ht="230.1" customHeight="1" x14ac:dyDescent="0.3">
      <c r="A3" s="26" t="s">
        <v>106</v>
      </c>
      <c r="B3" s="36" t="s">
        <v>107</v>
      </c>
    </row>
    <row r="4" spans="1:2" ht="230.1" customHeight="1" x14ac:dyDescent="0.3">
      <c r="A4" s="26" t="s">
        <v>108</v>
      </c>
      <c r="B4" s="36" t="s">
        <v>109</v>
      </c>
    </row>
    <row r="5" spans="1:2" ht="230.1" customHeight="1" x14ac:dyDescent="0.3">
      <c r="A5" s="26" t="s">
        <v>110</v>
      </c>
      <c r="B5" s="36" t="s">
        <v>111</v>
      </c>
    </row>
    <row r="6" spans="1:2" ht="230.1" customHeight="1" x14ac:dyDescent="0.3">
      <c r="A6" s="26" t="s">
        <v>112</v>
      </c>
      <c r="B6" s="36" t="s">
        <v>113</v>
      </c>
    </row>
    <row r="7" spans="1:2" ht="230.1" customHeight="1" x14ac:dyDescent="0.3">
      <c r="A7" s="26" t="s">
        <v>114</v>
      </c>
      <c r="B7" s="36" t="s">
        <v>115</v>
      </c>
    </row>
    <row r="8" spans="1:2" ht="230.1" customHeight="1" x14ac:dyDescent="0.3">
      <c r="A8" s="26" t="s">
        <v>116</v>
      </c>
      <c r="B8" s="36" t="s">
        <v>117</v>
      </c>
    </row>
    <row r="9" spans="1:2" ht="230.1" customHeight="1" x14ac:dyDescent="0.3">
      <c r="A9" s="26" t="s">
        <v>118</v>
      </c>
      <c r="B9" s="36" t="s">
        <v>119</v>
      </c>
    </row>
    <row r="10" spans="1:2" ht="230.1" customHeight="1" x14ac:dyDescent="0.3">
      <c r="A10" s="26" t="s">
        <v>108</v>
      </c>
      <c r="B10" s="36" t="s">
        <v>120</v>
      </c>
    </row>
    <row r="11" spans="1:2" ht="230.1" customHeight="1" x14ac:dyDescent="0.3">
      <c r="A11" s="26" t="s">
        <v>121</v>
      </c>
      <c r="B11" s="36" t="s">
        <v>122</v>
      </c>
    </row>
    <row r="12" spans="1:2" ht="230.1" customHeight="1" x14ac:dyDescent="0.3">
      <c r="A12" s="26" t="s">
        <v>123</v>
      </c>
      <c r="B12" s="36" t="s">
        <v>124</v>
      </c>
    </row>
    <row r="13" spans="1:2" ht="230.1" customHeight="1" x14ac:dyDescent="0.3">
      <c r="A13" s="26" t="s">
        <v>125</v>
      </c>
      <c r="B13" s="36" t="s">
        <v>126</v>
      </c>
    </row>
    <row r="14" spans="1:2" ht="230.1" customHeight="1" x14ac:dyDescent="0.3">
      <c r="A14" s="26" t="s">
        <v>127</v>
      </c>
      <c r="B14" s="36" t="s">
        <v>128</v>
      </c>
    </row>
    <row r="15" spans="1:2" ht="230.1" customHeight="1" x14ac:dyDescent="0.3">
      <c r="A15" s="26" t="s">
        <v>129</v>
      </c>
      <c r="B15" s="36" t="s">
        <v>130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FCFF7-1B4F-4AB7-95D7-9067EE83BDCC}">
  <sheetPr codeName="Planilha6"/>
  <dimension ref="A1:B22"/>
  <sheetViews>
    <sheetView workbookViewId="0">
      <selection activeCell="A3" sqref="A3"/>
    </sheetView>
  </sheetViews>
  <sheetFormatPr defaultRowHeight="14.4" x14ac:dyDescent="0.3"/>
  <cols>
    <col min="1" max="1" width="10" bestFit="1" customWidth="1"/>
  </cols>
  <sheetData>
    <row r="1" spans="1:1" x14ac:dyDescent="0.3">
      <c r="A1" s="26" t="s">
        <v>11</v>
      </c>
    </row>
    <row r="2" spans="1:1" x14ac:dyDescent="0.3">
      <c r="A2" s="26" t="s">
        <v>57</v>
      </c>
    </row>
    <row r="3" spans="1:1" x14ac:dyDescent="0.3">
      <c r="A3" s="26" t="s">
        <v>85</v>
      </c>
    </row>
    <row r="4" spans="1:1" x14ac:dyDescent="0.3">
      <c r="A4" s="26" t="s">
        <v>87</v>
      </c>
    </row>
    <row r="5" spans="1:1" x14ac:dyDescent="0.3">
      <c r="A5" s="26" t="s">
        <v>88</v>
      </c>
    </row>
    <row r="22" spans="2:2" x14ac:dyDescent="0.3">
      <c r="B22" s="39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82ED28-5B50-4C09-9044-29010E67E478}">
  <sheetPr codeName="Planilha7"/>
  <dimension ref="A1:G6"/>
  <sheetViews>
    <sheetView workbookViewId="0">
      <selection activeCell="G3" sqref="G3"/>
    </sheetView>
  </sheetViews>
  <sheetFormatPr defaultRowHeight="14.4" x14ac:dyDescent="0.3"/>
  <cols>
    <col min="1" max="1" width="13.33203125" bestFit="1" customWidth="1"/>
    <col min="2" max="4" width="13.6640625" bestFit="1" customWidth="1"/>
    <col min="5" max="5" width="18" bestFit="1" customWidth="1"/>
    <col min="6" max="7" width="19" bestFit="1" customWidth="1"/>
  </cols>
  <sheetData>
    <row r="1" spans="1:7" x14ac:dyDescent="0.3">
      <c r="A1" s="26" t="s">
        <v>26</v>
      </c>
      <c r="B1" s="26" t="s">
        <v>32</v>
      </c>
      <c r="C1" s="26" t="s">
        <v>33</v>
      </c>
      <c r="D1" s="26" t="s">
        <v>35</v>
      </c>
      <c r="E1" s="26" t="s">
        <v>34</v>
      </c>
      <c r="F1" s="26" t="s">
        <v>36</v>
      </c>
      <c r="G1" s="26" t="s">
        <v>37</v>
      </c>
    </row>
    <row r="2" spans="1:7" x14ac:dyDescent="0.3">
      <c r="A2" t="s">
        <v>31</v>
      </c>
      <c r="B2">
        <v>10</v>
      </c>
      <c r="C2">
        <v>2</v>
      </c>
      <c r="D2">
        <v>10</v>
      </c>
      <c r="E2">
        <v>2</v>
      </c>
      <c r="F2">
        <v>2</v>
      </c>
      <c r="G2">
        <v>2</v>
      </c>
    </row>
    <row r="3" spans="1:7" x14ac:dyDescent="0.3">
      <c r="A3" t="s">
        <v>27</v>
      </c>
      <c r="B3">
        <v>20</v>
      </c>
      <c r="C3">
        <v>3</v>
      </c>
      <c r="D3">
        <v>12</v>
      </c>
      <c r="E3">
        <v>5</v>
      </c>
      <c r="F3">
        <v>3</v>
      </c>
      <c r="G3">
        <v>4</v>
      </c>
    </row>
    <row r="4" spans="1:7" x14ac:dyDescent="0.3">
      <c r="A4" t="s">
        <v>28</v>
      </c>
      <c r="B4">
        <v>16</v>
      </c>
      <c r="C4">
        <v>4</v>
      </c>
      <c r="D4">
        <v>16</v>
      </c>
      <c r="E4">
        <v>4</v>
      </c>
      <c r="F4">
        <v>4</v>
      </c>
      <c r="G4">
        <v>4</v>
      </c>
    </row>
    <row r="5" spans="1:7" x14ac:dyDescent="0.3">
      <c r="A5" t="s">
        <v>29</v>
      </c>
      <c r="B5">
        <v>12</v>
      </c>
      <c r="C5">
        <v>5</v>
      </c>
      <c r="D5">
        <v>20</v>
      </c>
      <c r="E5">
        <v>3</v>
      </c>
      <c r="F5">
        <v>5</v>
      </c>
      <c r="G5">
        <v>4</v>
      </c>
    </row>
    <row r="6" spans="1:7" x14ac:dyDescent="0.3">
      <c r="A6" t="s">
        <v>30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9</vt:i4>
      </vt:variant>
    </vt:vector>
  </HeadingPairs>
  <TitlesOfParts>
    <vt:vector size="9" baseType="lpstr">
      <vt:lpstr>Básico</vt:lpstr>
      <vt:lpstr>Subclasse</vt:lpstr>
      <vt:lpstr>Equipamento</vt:lpstr>
      <vt:lpstr>Passagem</vt:lpstr>
      <vt:lpstr>Outros</vt:lpstr>
      <vt:lpstr>Rank</vt:lpstr>
      <vt:lpstr>Tipos das Armas</vt:lpstr>
      <vt:lpstr>Treinamento</vt:lpstr>
      <vt:lpstr>Classe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Mateus Gabriel de Paula</dc:creator>
  <cp:lastModifiedBy>Mateus Gabriel de Paula</cp:lastModifiedBy>
  <dcterms:created xsi:type="dcterms:W3CDTF">2024-03-11T20:21:12Z</dcterms:created>
  <dcterms:modified xsi:type="dcterms:W3CDTF">2025-05-07T23:50:43Z</dcterms:modified>
</cp:coreProperties>
</file>