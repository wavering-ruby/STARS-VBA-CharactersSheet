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C7842C64-1103-41BB-A9C6-20E8A70C3A35}" xr6:coauthVersionLast="47" xr6:coauthVersionMax="47" xr10:uidLastSave="{00000000-0000-0000-0000-000000000000}"/>
  <bookViews>
    <workbookView xWindow="-120" yWindow="-120" windowWidth="19455" windowHeight="11760" xr2:uid="{F5948357-C3D8-430D-9A83-EF9F6AD52DE5}"/>
  </bookViews>
  <sheets>
    <sheet name="Básico" sheetId="1" r:id="rId1"/>
    <sheet name="Subclasse" sheetId="9" state="hidden" r:id="rId2"/>
    <sheet name="Equipamento" sheetId="4" r:id="rId3"/>
    <sheet name="Passagem" sheetId="8" r:id="rId4"/>
    <sheet name="Outros" sheetId="7" state="hidden" r:id="rId5"/>
    <sheet name="Rank" sheetId="6" state="hidden" r:id="rId6"/>
    <sheet name="Especial de Armas" sheetId="5" state="hidden" r:id="rId7"/>
    <sheet name="Armas" sheetId="10" state="hidden" r:id="rId8"/>
    <sheet name="Treinamento" sheetId="3" r:id="rId9"/>
    <sheet name="Classe" sheetId="2" state="hidden" r:id="rId10"/>
  </sheets>
  <functionGroups builtInGroupCount="19"/>
  <definedNames>
    <definedName name="_xleta.SUM" hidden="1" xlm="1">#NAME?</definedName>
    <definedName name="_xleta.VALUETO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4" l="1"/>
  <c r="L4" i="4"/>
  <c r="K3" i="4"/>
  <c r="K4" i="4"/>
  <c r="J3" i="4"/>
  <c r="J4" i="4"/>
  <c r="F3" i="4"/>
  <c r="F4" i="4"/>
  <c r="I3" i="4"/>
  <c r="I4" i="4"/>
  <c r="H3" i="4"/>
  <c r="H4" i="4"/>
  <c r="G3" i="4"/>
  <c r="G4" i="4"/>
  <c r="E3" i="4"/>
  <c r="E4" i="4"/>
  <c r="I1" i="9" a="1"/>
  <c r="I1" i="9" s="1"/>
  <c r="P34" i="1"/>
  <c r="N34" i="1"/>
  <c r="P17" i="1"/>
  <c r="P4" i="1"/>
  <c r="P3" i="1"/>
  <c r="G53" i="1" l="1"/>
  <c r="L26" i="1"/>
  <c r="D15" i="4" l="1"/>
  <c r="P9" i="1"/>
  <c r="P8" i="1"/>
  <c r="M12" i="1" s="1"/>
  <c r="P7" i="1"/>
  <c r="M14" i="1" s="1"/>
  <c r="P6" i="1"/>
  <c r="M13" i="1" s="1"/>
  <c r="P5" i="1"/>
  <c r="L17" i="1" s="1"/>
  <c r="D11" i="4" l="1"/>
  <c r="F11" i="4" s="1"/>
  <c r="L53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<sst xmlns="http://schemas.openxmlformats.org/spreadsheetml/2006/main" count="776" uniqueCount="357">
  <si>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</si>
  <si>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</si>
  <si>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</si>
  <si>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</si>
  <si>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</si>
  <si>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</si>
  <si>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</si>
  <si>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</si>
  <si>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</si>
  <si>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</si>
  <si>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</si>
  <si>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</si>
  <si>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</si>
  <si>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</si>
  <si>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</si>
  <si>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</si>
  <si>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</si>
  <si>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</si>
  <si>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</si>
  <si>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</si>
  <si>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</si>
  <si>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</si>
  <si>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</si>
  <si>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</si>
  <si>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</si>
  <si>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</si>
  <si>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</si>
  <si>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</si>
  <si>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</si>
  <si>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</si>
  <si>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</si>
  <si>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</si>
  <si>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</si>
  <si>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</si>
  <si>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</si>
  <si>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</si>
  <si>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</si>
  <si>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</si>
  <si>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</si>
  <si>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</si>
  <si>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</si>
  <si>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</si>
  <si>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</si>
  <si>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</si>
  <si>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</si>
  <si>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</si>
  <si>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</si>
  <si>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</si>
  <si>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</si>
  <si>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</si>
  <si>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</si>
  <si>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</si>
  <si>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</si>
  <si>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</si>
  <si>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</si>
  <si>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</si>
  <si>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</si>
  <si>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</si>
  <si>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</si>
  <si>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</si>
  <si>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</si>
  <si>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</si>
  <si>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</si>
  <si>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</si>
  <si>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</si>
  <si>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</si>
  <si>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</si>
  <si>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</si>
  <si>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</si>
  <si>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</si>
  <si>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</si>
  <si>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</si>
  <si>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</si>
  <si>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</si>
  <si>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</si>
  <si>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</si>
  <si>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</si>
  <si>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</si>
  <si>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</si>
  <si>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</si>
  <si>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</si>
  <si>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</si>
  <si>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</si>
  <si>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</si>
  <si>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</si>
  <si>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</si>
  <si>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</si>
  <si>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</si>
  <si>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</si>
  <si>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</si>
  <si>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</si>
  <si>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</si>
  <si>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</si>
  <si>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</si>
  <si>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</si>
  <si>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</si>
  <si>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</si>
  <si>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</si>
  <si>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</si>
  <si>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</si>
  <si>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</si>
  <si>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</si>
  <si>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</si>
  <si>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</si>
  <si>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</si>
  <si>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</si>
  <si>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</si>
  <si>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</si>
  <si>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</si>
  <si>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</si>
  <si>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</si>
  <si>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</si>
  <si>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</si>
  <si>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</si>
  <si>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</si>
  <si>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</si>
  <si>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</si>
  <si>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</si>
  <si>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</si>
  <si>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</si>
  <si>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</si>
  <si>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</si>
  <si>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</si>
  <si>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</si>
  <si>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</si>
  <si>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</si>
  <si>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</si>
  <si>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</si>
  <si>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</si>
  <si>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</si>
  <si>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</si>
  <si>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</si>
  <si>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</si>
  <si>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</si>
  <si>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</si>
  <si>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</si>
  <si>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</si>
  <si>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</si>
  <si>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</si>
  <si>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</si>
  <si>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</si>
  <si>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</si>
  <si>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</si>
  <si>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</si>
  <si>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</si>
  <si>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</si>
  <si>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</si>
  <si>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</si>
  <si>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</si>
  <si>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</si>
  <si>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</si>
  <si>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</si>
  <si>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</si>
  <si>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</si>
  <si>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</si>
  <si>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</si>
  <si>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</si>
  <si>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</si>
  <si>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</si>
  <si>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</si>
  <si>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</si>
  <si>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</si>
  <si>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</si>
  <si>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</si>
  <si>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</si>
  <si>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</si>
  <si>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</si>
  <si>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</si>
  <si>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</si>
  <si>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</si>
  <si>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</si>
  <si>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</si>
  <si>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</si>
  <si>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</si>
  <si>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</si>
  <si>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</si>
  <si>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</si>
  <si>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</si>
  <si>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</si>
  <si>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</si>
  <si>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</si>
  <si>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</si>
  <si>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</si>
  <si>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</si>
  <si>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</si>
  <si>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</si>
  <si>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</si>
  <si>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</si>
  <si>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</si>
  <si>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</si>
  <si>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</si>
  <si>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</si>
  <si>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</si>
  <si>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</si>
  <si>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>cm</t>
  </si>
  <si>
    <t>Bloquear</t>
  </si>
  <si>
    <t>Esquiva</t>
  </si>
  <si>
    <t>Perpepção Passiva</t>
  </si>
  <si>
    <t>Reações  / Per. Pass.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</si>
  <si>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</si>
  <si>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</si>
  <si>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</si>
  <si>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</si>
  <si>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</si>
  <si>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</si>
  <si>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</si>
  <si>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</si>
  <si>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</si>
  <si>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</si>
  <si>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</si>
  <si>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</si>
  <si>
    <t>RD Mental</t>
  </si>
  <si>
    <t>RD adicional</t>
  </si>
  <si>
    <t>Atributo (+ Mod)</t>
  </si>
  <si>
    <t xml:space="preserve">Tamanho da Pika do Personagem: </t>
  </si>
  <si>
    <t>Anotações</t>
  </si>
  <si>
    <t>Dano Real</t>
  </si>
  <si>
    <t>Ação de Bloqueio</t>
  </si>
  <si>
    <t>12 &lt;- [ 9 ] + 3</t>
  </si>
  <si>
    <t>Subclasse</t>
  </si>
  <si>
    <t>Anomalístico</t>
  </si>
  <si>
    <t>Beligerante</t>
  </si>
  <si>
    <t>Caçador</t>
  </si>
  <si>
    <t>Comandante</t>
  </si>
  <si>
    <t>Combatente</t>
  </si>
  <si>
    <t>Executor</t>
  </si>
  <si>
    <t>Furioso</t>
  </si>
  <si>
    <t>Mestre de Batalha</t>
  </si>
  <si>
    <t>Pugilista</t>
  </si>
  <si>
    <t>Robusto</t>
  </si>
  <si>
    <t>Sagaz</t>
  </si>
  <si>
    <t>Tropa de Elite</t>
  </si>
  <si>
    <t>Ardiloso</t>
  </si>
  <si>
    <t>Atirador de Elite</t>
  </si>
  <si>
    <t>Detetive</t>
  </si>
  <si>
    <t>Infiltrador</t>
  </si>
  <si>
    <t>Socorrista</t>
  </si>
  <si>
    <t>Negociador</t>
  </si>
  <si>
    <t>Técnico</t>
  </si>
  <si>
    <t>Criptológo</t>
  </si>
  <si>
    <t>Alquimista</t>
  </si>
  <si>
    <t>Treinador de Monstros</t>
  </si>
  <si>
    <t>Arqueiro</t>
  </si>
  <si>
    <t>Hacker</t>
  </si>
  <si>
    <t>Caminho da Agonia</t>
  </si>
  <si>
    <t>Caminho da Crueldade</t>
  </si>
  <si>
    <t>Caminho da Desordem</t>
  </si>
  <si>
    <t>Caminho da Destruição</t>
  </si>
  <si>
    <t>Caminho da Injustiça</t>
  </si>
  <si>
    <t>Caminho do Medo</t>
  </si>
  <si>
    <t>Caminho do Remorso</t>
  </si>
  <si>
    <t>Cartomante</t>
  </si>
  <si>
    <t>Investigador Paranormal</t>
  </si>
  <si>
    <t>Juramentado</t>
  </si>
  <si>
    <t>Necromante</t>
  </si>
  <si>
    <t>Possuído</t>
  </si>
  <si>
    <t>Armas</t>
  </si>
  <si>
    <t>Desarmado</t>
  </si>
  <si>
    <t>–</t>
  </si>
  <si>
    <t>1d3</t>
  </si>
  <si>
    <t>10/+1d</t>
  </si>
  <si>
    <t>I</t>
  </si>
  <si>
    <t>Coronhada</t>
  </si>
  <si>
    <t>1d4</t>
  </si>
  <si>
    <t>Faca</t>
  </si>
  <si>
    <t>9/+1d</t>
  </si>
  <si>
    <t>Martelo</t>
  </si>
  <si>
    <t>1d6</t>
  </si>
  <si>
    <t>Adaga</t>
  </si>
  <si>
    <t>8/+2d</t>
  </si>
  <si>
    <t>Rolagem</t>
  </si>
  <si>
    <t>Arco</t>
  </si>
  <si>
    <t>Curto</t>
  </si>
  <si>
    <t>P</t>
  </si>
  <si>
    <t>Livre</t>
  </si>
  <si>
    <t>Besta</t>
  </si>
  <si>
    <t>1d8</t>
  </si>
  <si>
    <t>10/+2d</t>
  </si>
  <si>
    <t>Médio</t>
  </si>
  <si>
    <t>1/Movimento</t>
  </si>
  <si>
    <t>Estilingue</t>
  </si>
  <si>
    <t>1d10</t>
  </si>
  <si>
    <t>8/+1d</t>
  </si>
  <si>
    <t>5/Movimento</t>
  </si>
  <si>
    <t>Revólver</t>
  </si>
  <si>
    <t>1d12</t>
  </si>
  <si>
    <t>9/+2d</t>
  </si>
  <si>
    <t>2/Completo</t>
  </si>
  <si>
    <t>Revólver Compacto</t>
  </si>
  <si>
    <t>2d4</t>
  </si>
  <si>
    <t>Chakram</t>
  </si>
  <si>
    <t>Chicote</t>
  </si>
  <si>
    <t>Leque</t>
  </si>
  <si>
    <t>C/F</t>
  </si>
  <si>
    <t>Machadinha</t>
  </si>
  <si>
    <t>Nunchaku</t>
  </si>
  <si>
    <t>Bastão de Choque</t>
  </si>
  <si>
    <t>Corrente</t>
  </si>
  <si>
    <t>Espada</t>
  </si>
  <si>
    <t>Florete</t>
  </si>
  <si>
    <t>F/C</t>
  </si>
  <si>
    <t>Machado</t>
  </si>
  <si>
    <t>Mangual</t>
  </si>
  <si>
    <t>Marreta</t>
  </si>
  <si>
    <t>Foice</t>
  </si>
  <si>
    <t>10/+3d</t>
  </si>
  <si>
    <t>Lâmina Dupla</t>
  </si>
  <si>
    <t>1d8/1d8</t>
  </si>
  <si>
    <t>Katana</t>
  </si>
  <si>
    <t>2d6</t>
  </si>
  <si>
    <t>Montante</t>
  </si>
  <si>
    <t>Motosserra</t>
  </si>
  <si>
    <t>3d6</t>
  </si>
  <si>
    <t>Boomerang</t>
  </si>
  <si>
    <t>Shuriken</t>
  </si>
  <si>
    <t>Arco Composto</t>
  </si>
  <si>
    <t>Balestra</t>
  </si>
  <si>
    <t>Pistola de Cutelo</t>
  </si>
  <si>
    <t>2d6/1d6</t>
  </si>
  <si>
    <t>Carabina</t>
  </si>
  <si>
    <t>2d8</t>
  </si>
  <si>
    <t>10/Parado</t>
  </si>
  <si>
    <t>Espingarda</t>
  </si>
  <si>
    <t>2d10</t>
  </si>
  <si>
    <t>Submetralhadora</t>
  </si>
  <si>
    <t>Escopeta</t>
  </si>
  <si>
    <t>2d12</t>
  </si>
  <si>
    <t>6m</t>
  </si>
  <si>
    <t>4d4</t>
  </si>
  <si>
    <t>Uzi</t>
  </si>
  <si>
    <t>Fuzil de Assalto</t>
  </si>
  <si>
    <t>Garras</t>
  </si>
  <si>
    <t>2d3</t>
  </si>
  <si>
    <t>7/+2d</t>
  </si>
  <si>
    <t>Consecutiva e Sangrenta</t>
  </si>
  <si>
    <t>Macuahuitl</t>
  </si>
  <si>
    <t>L/C</t>
  </si>
  <si>
    <t>Sabre-serrilhado</t>
  </si>
  <si>
    <t>Alabarda</t>
  </si>
  <si>
    <t>C/P</t>
  </si>
  <si>
    <t>+1,5m</t>
  </si>
  <si>
    <t>Kusari-gama</t>
  </si>
  <si>
    <t>C/I</t>
  </si>
  <si>
    <t>Manopla Reforçada</t>
  </si>
  <si>
    <t>Lança-chamas</t>
  </si>
  <si>
    <t>6d6</t>
  </si>
  <si>
    <t>2/Padrão</t>
  </si>
  <si>
    <t>Lança Mísseis</t>
  </si>
  <si>
    <t>10d10</t>
  </si>
  <si>
    <t>Longo</t>
  </si>
  <si>
    <t>1/Completa</t>
  </si>
  <si>
    <t>Foguete</t>
  </si>
  <si>
    <t>Metralhadora</t>
  </si>
  <si>
    <t>4d8</t>
  </si>
  <si>
    <t>10/Completa</t>
  </si>
  <si>
    <t>Pistola</t>
  </si>
  <si>
    <t>Versado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</si>
</sst>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5"/>
      <color theme="1"/>
      <name val="Agency FB"/>
      <family val="2"/>
    </font>
    <font>
      <sz val="40"/>
      <color theme="0"/>
      <name val="Algerian"/>
      <family val="5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246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4" fillId="9" borderId="0" xfId="1" applyFont="1" applyFill="1" applyBorder="1" applyAlignment="1">
      <alignment horizontal="center" vertical="center"/>
    </xf>
    <xf numFmtId="9" fontId="24" fillId="5" borderId="0" xfId="1" applyFont="1" applyFill="1" applyBorder="1" applyAlignment="1">
      <alignment horizontal="center" vertical="center"/>
    </xf>
    <xf numFmtId="9" fontId="24" fillId="5" borderId="16" xfId="1" applyFont="1" applyFill="1" applyBorder="1" applyAlignment="1">
      <alignment horizontal="center" vertical="center"/>
    </xf>
    <xf numFmtId="0" fontId="24" fillId="9" borderId="7" xfId="0" applyFont="1" applyFill="1" applyBorder="1"/>
    <xf numFmtId="0" fontId="24" fillId="5" borderId="7" xfId="0" applyFont="1" applyFill="1" applyBorder="1"/>
    <xf numFmtId="0" fontId="24" fillId="5" borderId="15" xfId="0" applyFont="1" applyFill="1" applyBorder="1"/>
    <xf numFmtId="0" fontId="4" fillId="4" borderId="67" xfId="0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/>
    </xf>
    <xf numFmtId="0" fontId="24" fillId="5" borderId="0" xfId="0" applyFont="1" applyFill="1" applyAlignment="1">
      <alignment horizontal="left" vertical="center"/>
    </xf>
    <xf numFmtId="0" fontId="24" fillId="5" borderId="16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7" fillId="0" borderId="13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vertical="center" wrapText="1"/>
    </xf>
    <xf numFmtId="164" fontId="21" fillId="4" borderId="34" xfId="0" applyNumberFormat="1" applyFont="1" applyFill="1" applyBorder="1" applyAlignment="1">
      <alignment horizontal="center" vertical="center" wrapText="1"/>
    </xf>
    <xf numFmtId="164" fontId="21" fillId="4" borderId="35" xfId="0" applyNumberFormat="1" applyFont="1" applyFill="1" applyBorder="1" applyAlignment="1">
      <alignment horizontal="center" vertical="center" wrapText="1"/>
    </xf>
    <xf numFmtId="164" fontId="21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9" fontId="0" fillId="0" borderId="13" xfId="0" applyNumberFormat="1" applyBorder="1" applyAlignment="1">
      <alignment horizontal="left" vertical="top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0" fontId="20" fillId="5" borderId="34" xfId="0" applyFont="1" applyFill="1" applyBorder="1" applyAlignment="1">
      <alignment horizontal="center" vertical="center"/>
    </xf>
    <xf numFmtId="0" fontId="20" fillId="5" borderId="35" xfId="0" applyFont="1" applyFill="1" applyBorder="1" applyAlignment="1">
      <alignment horizontal="center" vertical="center"/>
    </xf>
    <xf numFmtId="0" fontId="20" fillId="5" borderId="36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9" fontId="20" fillId="9" borderId="34" xfId="0" applyNumberFormat="1" applyFont="1" applyFill="1" applyBorder="1" applyAlignment="1">
      <alignment horizontal="center" vertical="center"/>
    </xf>
    <xf numFmtId="9" fontId="20" fillId="9" borderId="35" xfId="0" applyNumberFormat="1" applyFont="1" applyFill="1" applyBorder="1" applyAlignment="1">
      <alignment horizontal="center" vertical="center"/>
    </xf>
    <xf numFmtId="9" fontId="20" fillId="9" borderId="36" xfId="0" applyNumberFormat="1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1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57" xfId="0" applyFont="1" applyBorder="1" applyAlignment="1">
      <alignment horizontal="center" vertical="center" wrapText="1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26" fillId="15" borderId="7" xfId="0" applyFont="1" applyFill="1" applyBorder="1" applyAlignment="1">
      <alignment horizontal="center" vertical="center" wrapText="1"/>
    </xf>
    <xf numFmtId="0" fontId="26" fillId="15" borderId="8" xfId="0" applyFont="1" applyFill="1" applyBorder="1" applyAlignment="1">
      <alignment horizontal="center" vertical="center" wrapText="1"/>
    </xf>
    <xf numFmtId="0" fontId="26" fillId="15" borderId="15" xfId="0" applyFont="1" applyFill="1" applyBorder="1" applyAlignment="1">
      <alignment horizontal="center" vertical="center" wrapText="1"/>
    </xf>
    <xf numFmtId="0" fontId="26" fillId="15" borderId="17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26" fillId="11" borderId="7" xfId="0" applyFont="1" applyFill="1" applyBorder="1" applyAlignment="1">
      <alignment horizontal="center" vertical="center" wrapText="1"/>
    </xf>
    <xf numFmtId="0" fontId="26" fillId="11" borderId="8" xfId="0" applyFont="1" applyFill="1" applyBorder="1" applyAlignment="1">
      <alignment horizontal="center" vertical="center" wrapText="1"/>
    </xf>
    <xf numFmtId="0" fontId="26" fillId="11" borderId="15" xfId="0" applyFont="1" applyFill="1" applyBorder="1" applyAlignment="1">
      <alignment horizontal="center" vertical="center" wrapText="1"/>
    </xf>
    <xf numFmtId="0" fontId="26" fillId="11" borderId="17" xfId="0" applyFont="1" applyFill="1" applyBorder="1" applyAlignment="1">
      <alignment horizontal="center" vertical="center" wrapText="1"/>
    </xf>
    <xf numFmtId="0" fontId="25" fillId="12" borderId="7" xfId="0" applyFont="1" applyFill="1" applyBorder="1" applyAlignment="1">
      <alignment horizontal="center" vertical="center" wrapText="1"/>
    </xf>
    <xf numFmtId="0" fontId="25" fillId="12" borderId="8" xfId="0" applyFont="1" applyFill="1" applyBorder="1" applyAlignment="1">
      <alignment horizontal="center" vertical="center" wrapText="1"/>
    </xf>
    <xf numFmtId="0" fontId="25" fillId="12" borderId="15" xfId="0" applyFont="1" applyFill="1" applyBorder="1" applyAlignment="1">
      <alignment horizontal="center" vertical="center" wrapText="1"/>
    </xf>
    <xf numFmtId="0" fontId="25" fillId="12" borderId="17" xfId="0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6" fillId="10" borderId="8" xfId="0" applyFont="1" applyFill="1" applyBorder="1" applyAlignment="1">
      <alignment horizontal="center" vertical="center" wrapText="1"/>
    </xf>
    <xf numFmtId="0" fontId="26" fillId="10" borderId="15" xfId="0" applyFont="1" applyFill="1" applyBorder="1" applyAlignment="1">
      <alignment horizontal="center" vertical="center" wrapText="1"/>
    </xf>
    <xf numFmtId="0" fontId="26" fillId="10" borderId="17" xfId="0" applyFont="1" applyFill="1" applyBorder="1" applyAlignment="1">
      <alignment horizontal="center" vertical="center" wrapText="1"/>
    </xf>
    <xf numFmtId="0" fontId="26" fillId="16" borderId="7" xfId="0" applyFont="1" applyFill="1" applyBorder="1" applyAlignment="1">
      <alignment horizontal="center" vertical="center" wrapText="1"/>
    </xf>
    <xf numFmtId="0" fontId="26" fillId="16" borderId="8" xfId="0" applyFont="1" applyFill="1" applyBorder="1" applyAlignment="1">
      <alignment horizontal="center" vertical="center" wrapText="1"/>
    </xf>
    <xf numFmtId="0" fontId="26" fillId="16" borderId="15" xfId="0" applyFont="1" applyFill="1" applyBorder="1" applyAlignment="1">
      <alignment horizontal="center" vertical="center" wrapText="1"/>
    </xf>
    <xf numFmtId="0" fontId="26" fillId="16" borderId="17" xfId="0" applyFont="1" applyFill="1" applyBorder="1" applyAlignment="1">
      <alignment horizontal="center" vertical="center" wrapText="1"/>
    </xf>
    <xf numFmtId="0" fontId="26" fillId="14" borderId="7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 wrapText="1"/>
    </xf>
    <xf numFmtId="0" fontId="26" fillId="14" borderId="15" xfId="0" applyFont="1" applyFill="1" applyBorder="1" applyAlignment="1">
      <alignment horizontal="center" vertical="center" wrapText="1"/>
    </xf>
    <xf numFmtId="0" fontId="26" fillId="14" borderId="17" xfId="0" applyFont="1" applyFill="1" applyBorder="1" applyAlignment="1">
      <alignment horizontal="center" vertical="center" wrapText="1"/>
    </xf>
    <xf numFmtId="0" fontId="24" fillId="5" borderId="0" xfId="0" applyFont="1" applyFill="1" applyAlignment="1">
      <alignment horizontal="left"/>
    </xf>
    <xf numFmtId="0" fontId="24" fillId="5" borderId="8" xfId="0" applyFont="1" applyFill="1" applyBorder="1" applyAlignment="1">
      <alignment horizontal="left"/>
    </xf>
    <xf numFmtId="0" fontId="24" fillId="9" borderId="0" xfId="0" applyFont="1" applyFill="1" applyAlignment="1">
      <alignment horizontal="left"/>
    </xf>
    <xf numFmtId="0" fontId="24" fillId="9" borderId="8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/>
    </xf>
    <xf numFmtId="0" fontId="24" fillId="5" borderId="17" xfId="0" applyFont="1" applyFill="1" applyBorder="1" applyAlignment="1">
      <alignment horizontal="left"/>
    </xf>
    <xf numFmtId="0" fontId="25" fillId="13" borderId="7" xfId="0" applyFont="1" applyFill="1" applyBorder="1" applyAlignment="1">
      <alignment horizontal="center" vertical="center" wrapText="1"/>
    </xf>
    <xf numFmtId="0" fontId="25" fillId="13" borderId="8" xfId="0" applyFont="1" applyFill="1" applyBorder="1" applyAlignment="1">
      <alignment horizontal="center" vertical="center" wrapText="1"/>
    </xf>
    <xf numFmtId="0" fontId="25" fillId="13" borderId="15" xfId="0" applyFont="1" applyFill="1" applyBorder="1" applyAlignment="1">
      <alignment horizontal="center" vertical="center" wrapText="1"/>
    </xf>
    <xf numFmtId="0" fontId="25" fillId="13" borderId="17" xfId="0" applyFont="1" applyFill="1" applyBorder="1" applyAlignment="1">
      <alignment horizontal="center" vertical="center" wrapText="1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7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40" totalsRowShown="0" headerRowDxfId="70">
  <tableColumns count="3">
    <tableColumn id="1" xr3:uid="{3767BBB3-A6D1-480E-9271-BCC883609CE1}" name="Nome" dataDxfId="69"/>
    <tableColumn id="2" xr3:uid="{3FD16391-F815-4952-85E0-843E2305DB1B}" name="%" dataDxfId="68"/>
    <tableColumn id="3" xr3:uid="{72EC237D-FFF6-4161-948D-55EB8BD045BB}" name="Tipo" dataDxfId="67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6" dataDxfId="65" tableBorderDxfId="64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3"/>
    <tableColumn id="2" xr3:uid="{3EDDADCA-B1EE-4F05-B86F-B529301AAFD8}" name="Atri. Base" dataDxfId="62"/>
    <tableColumn id="3" xr3:uid="{114A513D-AD9B-4797-9928-0CCBD122449F}" name="Treinamento" dataDxfId="61"/>
    <tableColumn id="4" xr3:uid="{FF8E07CB-03EE-4C92-8286-188819AC6882}" name="Outros" dataDxfId="60"/>
    <tableColumn id="5" xr3:uid="{17BCB045-0717-4D3A-B9ED-F7B9F79300DA}" name="Total" dataDxfId="59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43:D63" totalsRowShown="0" headerRowDxfId="58">
  <tableColumns count="3">
    <tableColumn id="1" xr3:uid="{5BD18274-79E4-4A26-AF5D-108D580357F7}" name="Nome" dataDxfId="57"/>
    <tableColumn id="2" xr3:uid="{8530D07C-28D7-4691-97E5-1179DD0073BA}" name="%" dataDxfId="56"/>
    <tableColumn id="3" xr3:uid="{9A0BF05D-4A7C-40FB-AD86-B0C747CE615D}" name="Estrelas" dataDxfId="55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4" dataDxfId="52" headerRowBorderDxfId="53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51"/>
    <tableColumn id="2" xr3:uid="{9197CC62-8E5B-4882-8526-2A896EC86285}" name="RD (n°)" dataDxfId="50"/>
    <tableColumn id="3" xr3:uid="{9BA44F5D-7E5D-4F97-B691-02C97FB15817}" name="Aplicável?" dataDxfId="4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8" dataDxfId="46" headerRowBorderDxfId="47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5"/>
    <tableColumn id="2" xr3:uid="{BE80BFF5-4F04-4575-BBCB-4AE8EFB3DD70}" name="RD (n°)" dataDxfId="44"/>
    <tableColumn id="3" xr3:uid="{CC4856CA-5530-4049-9546-83194BB47BB1}" name="Aplicável?" dataDxfId="4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426525-8DC8-4939-9196-D04BCE60B817}" name="Subclasses" displayName="Subclasses" ref="A1:B37" totalsRowShown="0">
  <autoFilter ref="A1:B37" xr:uid="{F5426525-8DC8-4939-9196-D04BCE60B817}"/>
  <tableColumns count="2">
    <tableColumn id="1" xr3:uid="{BC869B94-4FC3-4140-9A4F-5E9430B83044}" name="Classe"/>
    <tableColumn id="2" xr3:uid="{08604B3D-E709-4B57-9259-B14CBFF664E7}" name="Subclasse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42" dataDxfId="41" tableBorderDxfId="40">
  <tableColumns count="9">
    <tableColumn id="1" xr3:uid="{B9476553-8B3B-4976-9B92-36144093A260}" name="Nome" dataDxfId="39"/>
    <tableColumn id="2" xr3:uid="{924563B1-89C5-4CD2-B71B-6068611A15FF}" name="Custo" dataDxfId="38">
      <calculatedColumnFormula>_xlfn.XLOOKUP(Armamento[[#This Row],[Nome]], Armas[Armas], Armas[Custo], "")</calculatedColumnFormula>
    </tableColumn>
    <tableColumn id="3" xr3:uid="{23B78383-4A4E-46E2-B4CF-F312114B5AF0}" name="Dano" dataDxfId="37">
      <calculatedColumnFormula>_xlfn.XLOOKUP(Armamento[[#This Row],[Nome]], Armas[Armas], Armas[Rolagem], "")</calculatedColumnFormula>
    </tableColumn>
    <tableColumn id="4" xr3:uid="{779E05AA-6769-43BA-8060-59E359EA0394}" name="Crítico" dataDxfId="36">
      <calculatedColumnFormula>_xlfn.XLOOKUP(Armamento[[#This Row],[Nome]], Armas[Armas], Armas[Crítico], "")</calculatedColumnFormula>
    </tableColumn>
    <tableColumn id="5" xr3:uid="{DE371EB2-DF01-4539-AA05-A4825DEC7F0A}" name="Alcance" dataDxfId="35">
      <calculatedColumnFormula>_xlfn.XLOOKUP(Armamento[[#This Row],[Nome]], Armas[Armas], Armas[Alcance], "")</calculatedColumnFormula>
    </tableColumn>
    <tableColumn id="6" xr3:uid="{28A6C3FF-F7C5-424C-B30E-4C482121AB52}" name="Tipo" dataDxfId="34">
      <calculatedColumnFormula>_xlfn.XLOOKUP(Armamento[[#This Row],[Nome]], Armas[Armas], Armas[Dano], "")</calculatedColumnFormula>
    </tableColumn>
    <tableColumn id="7" xr3:uid="{9BADFE80-A2FA-4AFF-9AE1-C064D04684F7}" name="Recarga" dataDxfId="33">
      <calculatedColumnFormula>_xlfn.XLOOKUP(Armamento[[#This Row],[Nome]], Armas[Armas], Armas[Recarga], "")</calculatedColumnFormula>
    </tableColumn>
    <tableColumn id="8" xr3:uid="{A5ED8C47-3AC0-4096-A96A-37F9E4AFDCCE}" name="Espaço" dataDxfId="32">
      <calculatedColumnFormula>_xlfn.XLOOKUP(Armamento[[#This Row],[Nome]], Armas[Armas], Armas[Espaço], "")</calculatedColumnFormula>
    </tableColumn>
    <tableColumn id="9" xr3:uid="{3245E572-A12F-4F1E-8949-69F809B1A61A}" name="Especial" dataDxfId="31">
      <calculatedColumnFormula>_xlfn.XLOOKUP(Armamento[[#This Row],[Nome]], Armas[Armas], Armas[Especial], "")</calculatedColumnFormula>
    </tableColumn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30" headerRowBorderDxfId="29" tableBorderDxfId="28" totalsRowBorderDxfId="27">
  <tableColumns count="4">
    <tableColumn id="1" xr3:uid="{CDDB6EC5-5DB0-4573-9B45-1AAA98CE87BC}" name="Armadura" dataDxfId="26"/>
    <tableColumn id="2" xr3:uid="{8DD70B5D-BB47-417D-9E2A-ED3FCC0F4AB2}" name="Defesa" dataDxfId="25"/>
    <tableColumn id="3" xr3:uid="{D3B4425E-E0B4-4FBF-B52F-281854E5405D}" name="Custo" dataDxfId="24"/>
    <tableColumn id="4" xr3:uid="{F2761F52-8CDE-4A5E-8634-23BCF6216B8F}" name="Espaço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22" dataDxfId="20" headerRowBorderDxfId="21" tableBorderDxfId="19">
  <tableColumns count="3">
    <tableColumn id="1" xr3:uid="{82D2FB4B-679D-41BC-88E9-C3D0B81136C5}" name="Acessórios" dataDxfId="18"/>
    <tableColumn id="2" xr3:uid="{9695D9D6-17B0-4A0B-ACCB-5D0B5C09E77D}" name="Custo" dataDxfId="17"/>
    <tableColumn id="3" xr3:uid="{D152717D-6B97-4503-BD58-C1F8CE74E29E}" name="Espaço" dataDxfId="16"/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5" dataDxfId="14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3"/>
    <tableColumn id="2" xr3:uid="{F9B52A9C-80CA-4869-9E63-89E429F0B0D3}" name="Influência" dataDxfId="12"/>
    <tableColumn id="3" xr3:uid="{99230657-0DAA-48E1-BEF8-86D4ECE49D47}" name="Crédito" dataDxfId="1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10" dataDxfId="9">
  <autoFilter ref="A1:B15" xr:uid="{4A820912-A522-4A7A-9724-1426CACA19B5}"/>
  <tableColumns count="2">
    <tableColumn id="1" xr3:uid="{C2B737FE-8599-48C6-BF3D-4E6C8D5C0D6A}" name="Especial" dataDxfId="8"/>
    <tableColumn id="2" xr3:uid="{A505EE47-476D-4537-9480-836815AB4161}" name="Descrição" dataDxfId="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0321A9-82B4-4641-AA96-33A58793C624}" name="Armas" displayName="Armas" ref="A1:I51" totalsRowShown="0">
  <autoFilter ref="A1:I51" xr:uid="{500321A9-82B4-4641-AA96-33A58793C624}"/>
  <tableColumns count="9">
    <tableColumn id="1" xr3:uid="{801D4495-C745-46B4-96A0-725E4705C0CA}" name="Armas"/>
    <tableColumn id="2" xr3:uid="{FF5F5D81-89C8-44F0-A7DC-9F37E8406FF8}" name="Custo"/>
    <tableColumn id="3" xr3:uid="{4F41B31D-B505-486F-A5FF-6F42CCFBA247}" name="Rolagem"/>
    <tableColumn id="4" xr3:uid="{B6AA2451-153B-45A5-96E7-0C740956DE1A}" name="Crítico"/>
    <tableColumn id="5" xr3:uid="{62E396E0-0447-4C47-B530-86613660C063}" name="Alcance" dataDxfId="6"/>
    <tableColumn id="6" xr3:uid="{BAABF51D-931A-4760-8CA2-A7D6D2561EC8}" name="Dano"/>
    <tableColumn id="10" xr3:uid="{F73BDEC4-2584-4385-A600-DE6BB8EE05FD}" name="Recarga" dataDxfId="5"/>
    <tableColumn id="7" xr3:uid="{F2EB0D28-B968-4D1F-9AB6-1C6CBEB42FFC}" name="Espaço"/>
    <tableColumn id="8" xr3:uid="{4E64E1B4-5FB6-4486-8C69-39C2A6CD8B71}" name="Especial" dataDxfId="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topLeftCell="H1" zoomScaleNormal="100" workbookViewId="0">
      <selection activeCell="T3" sqref="T3"/>
    </sheetView>
  </sheetViews>
  <sheetFormatPr defaultRowHeight="15" x14ac:dyDescent="0.25"/>
  <cols>
    <col min="2" max="2" width="27.5703125" bestFit="1" customWidth="1"/>
    <col min="4" max="4" width="14.140625" bestFit="1" customWidth="1"/>
    <col min="6" max="6" width="15.7109375" bestFit="1" customWidth="1"/>
    <col min="8" max="8" width="12" bestFit="1" customWidth="1"/>
    <col min="10" max="10" width="4.5703125" bestFit="1" customWidth="1"/>
    <col min="11" max="11" width="2.140625" customWidth="1"/>
    <col min="12" max="15" width="15.7109375" customWidth="1"/>
    <col min="16" max="16" width="18.28515625" customWidth="1"/>
    <col min="18" max="18" width="14.42578125" bestFit="1" customWidth="1"/>
    <col min="19" max="19" width="14.7109375" hidden="1" customWidth="1"/>
    <col min="20" max="20" width="16.42578125" bestFit="1" customWidth="1"/>
    <col min="21" max="21" width="11.5703125" bestFit="1" customWidth="1"/>
    <col min="22" max="22" width="10" bestFit="1" customWidth="1"/>
  </cols>
  <sheetData>
    <row r="1" spans="2:22" ht="15.75" thickBot="1" x14ac:dyDescent="0.3"/>
    <row r="2" spans="2:22" ht="20.25" thickBot="1" x14ac:dyDescent="0.35">
      <c r="B2" s="118"/>
      <c r="C2" s="119"/>
      <c r="D2" s="120"/>
      <c r="F2" s="127" t="s">
        <v>0</v>
      </c>
      <c r="G2" s="128"/>
      <c r="H2" s="129"/>
      <c r="J2" s="157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75" x14ac:dyDescent="0.25">
      <c r="B3" s="121"/>
      <c r="C3" s="122"/>
      <c r="D3" s="123"/>
      <c r="F3" s="1"/>
      <c r="G3" s="2"/>
      <c r="H3" s="2"/>
      <c r="J3" s="158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75" x14ac:dyDescent="0.25">
      <c r="B4" s="121"/>
      <c r="C4" s="122"/>
      <c r="D4" s="123"/>
      <c r="E4" s="11"/>
      <c r="F4" s="3" t="s">
        <v>1</v>
      </c>
      <c r="G4" s="109"/>
      <c r="H4" s="110"/>
      <c r="J4" s="158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75" x14ac:dyDescent="0.25">
      <c r="B5" s="121"/>
      <c r="C5" s="122"/>
      <c r="D5" s="123"/>
      <c r="F5" s="4"/>
      <c r="G5" s="4"/>
      <c r="H5" s="4"/>
      <c r="J5" s="158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75" x14ac:dyDescent="0.25">
      <c r="B6" s="121"/>
      <c r="C6" s="122"/>
      <c r="D6" s="123"/>
      <c r="F6" s="3" t="s">
        <v>2</v>
      </c>
      <c r="G6" s="117"/>
      <c r="H6" s="110"/>
      <c r="J6" s="158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75" x14ac:dyDescent="0.25">
      <c r="B7" s="121"/>
      <c r="C7" s="122"/>
      <c r="D7" s="123"/>
      <c r="F7" s="4"/>
      <c r="G7" s="4"/>
      <c r="H7" s="4"/>
      <c r="J7" s="158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75" x14ac:dyDescent="0.25">
      <c r="B8" s="121"/>
      <c r="C8" s="122"/>
      <c r="D8" s="123"/>
      <c r="F8" s="3" t="s">
        <v>84</v>
      </c>
      <c r="G8" s="130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31"/>
      <c r="J8" s="158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75" x14ac:dyDescent="0.25">
      <c r="B9" s="121"/>
      <c r="C9" s="122"/>
      <c r="D9" s="123"/>
      <c r="F9" s="4"/>
      <c r="G9" s="4"/>
      <c r="H9" s="4"/>
      <c r="J9" s="158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.75" x14ac:dyDescent="0.25">
      <c r="B10" s="121"/>
      <c r="C10" s="122"/>
      <c r="D10" s="123"/>
      <c r="F10" s="3" t="s">
        <v>41</v>
      </c>
      <c r="G10" s="132"/>
      <c r="H10" s="133"/>
      <c r="J10" s="158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9.5" x14ac:dyDescent="0.25">
      <c r="B11" s="121"/>
      <c r="C11" s="122"/>
      <c r="D11" s="123"/>
      <c r="F11" s="4"/>
      <c r="G11" s="4"/>
      <c r="H11" s="4"/>
      <c r="J11" s="158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75" x14ac:dyDescent="0.25">
      <c r="B12" s="121"/>
      <c r="C12" s="122"/>
      <c r="D12" s="123"/>
      <c r="F12" s="3" t="s">
        <v>42</v>
      </c>
      <c r="G12" s="117"/>
      <c r="H12" s="110"/>
      <c r="J12" s="158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75" x14ac:dyDescent="0.25">
      <c r="B13" s="121"/>
      <c r="C13" s="122"/>
      <c r="D13" s="123"/>
      <c r="F13" s="4"/>
      <c r="G13" s="4"/>
      <c r="H13" s="4"/>
      <c r="J13" s="158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75" x14ac:dyDescent="0.25">
      <c r="B14" s="121"/>
      <c r="C14" s="122"/>
      <c r="D14" s="123"/>
      <c r="F14" s="3" t="s">
        <v>3</v>
      </c>
      <c r="G14" s="117"/>
      <c r="H14" s="110"/>
      <c r="J14" s="158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25">
      <c r="B15" s="121"/>
      <c r="C15" s="122"/>
      <c r="D15" s="123"/>
      <c r="F15" s="4"/>
      <c r="G15" s="4"/>
      <c r="H15" s="4"/>
      <c r="J15" s="158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.75" x14ac:dyDescent="0.25">
      <c r="B16" s="121"/>
      <c r="C16" s="122"/>
      <c r="D16" s="123"/>
      <c r="F16" s="3" t="s">
        <v>4</v>
      </c>
      <c r="G16" s="115"/>
      <c r="H16" s="116"/>
      <c r="J16" s="158"/>
      <c r="L16" s="33" t="s">
        <v>43</v>
      </c>
      <c r="M16" s="33" t="s">
        <v>144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25">
      <c r="B17" s="121"/>
      <c r="C17" s="122"/>
      <c r="D17" s="123"/>
      <c r="F17" s="4"/>
      <c r="G17" s="4"/>
      <c r="H17" s="4"/>
      <c r="J17" s="158"/>
      <c r="L17" s="108">
        <f>5 + P5 + M17 + IF(N53="SIM",IF(T25 = "Calejado", 2, IF(T25 = "Experiente", 3, IF(T25="Mestre",4,0))),0)</f>
        <v>5</v>
      </c>
      <c r="M17" s="102"/>
      <c r="N17" s="105">
        <f>5 + (G22 / 5%) / 2 + O17 + P6</f>
        <v>5</v>
      </c>
      <c r="O17" s="102"/>
      <c r="P17" s="99" t="str">
        <f>IF(P16="Deslocamento (m)", TEXT(9+IF(AND(G18="Duelista",G20="Tropa de Elite",G22&gt;=15%),3,0)+(ROUND(P5/2,0)*1.5),"0,0"), TEXT(((9+IF(AND(G18="Duelista",G20="Tropa de Elite",G22&gt;=15%),3,0)+(ROUND(P5/2,0)*1.5))/1.5),"0"))</f>
        <v>9,0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25">
      <c r="B18" s="121"/>
      <c r="C18" s="122"/>
      <c r="D18" s="123"/>
      <c r="E18" s="11"/>
      <c r="F18" s="3" t="s">
        <v>5</v>
      </c>
      <c r="G18" s="117"/>
      <c r="H18" s="110"/>
      <c r="J18" s="158"/>
      <c r="L18" s="106"/>
      <c r="M18" s="103"/>
      <c r="N18" s="106"/>
      <c r="O18" s="103"/>
      <c r="P18" s="100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25">
      <c r="B19" s="121"/>
      <c r="C19" s="122"/>
      <c r="D19" s="123"/>
      <c r="F19" s="5"/>
      <c r="G19" s="5"/>
      <c r="H19" s="5"/>
      <c r="J19" s="158"/>
      <c r="L19" s="106"/>
      <c r="M19" s="103"/>
      <c r="N19" s="106"/>
      <c r="O19" s="103"/>
      <c r="P19" s="100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25">
      <c r="B20" s="121"/>
      <c r="C20" s="122"/>
      <c r="D20" s="123"/>
      <c r="E20" s="11"/>
      <c r="F20" s="6" t="s">
        <v>6</v>
      </c>
      <c r="G20" s="114"/>
      <c r="H20" s="110"/>
      <c r="J20" s="158"/>
      <c r="L20" s="107"/>
      <c r="M20" s="104"/>
      <c r="N20" s="107"/>
      <c r="O20" s="104"/>
      <c r="P20" s="101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25">
      <c r="B21" s="121"/>
      <c r="C21" s="122"/>
      <c r="D21" s="123"/>
      <c r="F21" s="5"/>
      <c r="G21" s="5"/>
      <c r="H21" s="5"/>
      <c r="J21" s="158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6.5" thickBot="1" x14ac:dyDescent="0.3">
      <c r="B22" s="124"/>
      <c r="C22" s="125"/>
      <c r="D22" s="126"/>
      <c r="E22" s="11"/>
      <c r="F22" s="6" t="s">
        <v>7</v>
      </c>
      <c r="G22" s="114"/>
      <c r="H22" s="110"/>
      <c r="J22" s="159"/>
      <c r="L22" s="151" t="str">
        <f>_xlfn.CONCAT("Limite de PP: ",(G22/5%) + IF(G20="Caminho da Agonia", P6, 0))</f>
        <v>Limite de PP: 0</v>
      </c>
      <c r="M22" s="151"/>
      <c r="N22" s="151"/>
      <c r="O22" s="151"/>
      <c r="P22" s="151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.75" thickBot="1" x14ac:dyDescent="0.3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20.25" thickBot="1" x14ac:dyDescent="0.35">
      <c r="B24" s="111" t="s">
        <v>145</v>
      </c>
      <c r="C24" s="112"/>
      <c r="D24" s="113"/>
      <c r="F24" s="111" t="s">
        <v>215</v>
      </c>
      <c r="G24" s="112"/>
      <c r="H24" s="113"/>
      <c r="J24" s="137" t="s">
        <v>48</v>
      </c>
      <c r="L24" s="154" t="s">
        <v>50</v>
      </c>
      <c r="M24" s="14" t="s">
        <v>10</v>
      </c>
      <c r="N24" s="15" t="s">
        <v>51</v>
      </c>
      <c r="O24" s="156" t="s">
        <v>52</v>
      </c>
      <c r="P24" s="156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25">
      <c r="B25" s="7" t="s">
        <v>10</v>
      </c>
      <c r="C25" s="8" t="s">
        <v>146</v>
      </c>
      <c r="D25" s="9" t="s">
        <v>11</v>
      </c>
      <c r="F25" s="140"/>
      <c r="G25" s="141"/>
      <c r="H25" s="142"/>
      <c r="J25" s="138"/>
      <c r="L25" s="155"/>
      <c r="M25" s="66"/>
      <c r="N25" s="35"/>
      <c r="O25" s="149"/>
      <c r="P25" s="150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25">
      <c r="B26" s="58"/>
      <c r="C26" s="59"/>
      <c r="D26" s="71"/>
      <c r="F26" s="143"/>
      <c r="G26" s="144"/>
      <c r="H26" s="145"/>
      <c r="J26" s="138"/>
      <c r="L26" s="152">
        <f>((M9+N9)*3)+SUM(N25:N31)</f>
        <v>0</v>
      </c>
      <c r="M26" s="67"/>
      <c r="N26" s="34"/>
      <c r="O26" s="149"/>
      <c r="P26" s="150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25">
      <c r="B27" s="10"/>
      <c r="C27" s="61"/>
      <c r="D27" s="70"/>
      <c r="F27" s="143"/>
      <c r="G27" s="144"/>
      <c r="H27" s="145"/>
      <c r="J27" s="138"/>
      <c r="L27" s="153"/>
      <c r="M27" s="68"/>
      <c r="N27" s="28"/>
      <c r="O27" s="149"/>
      <c r="P27" s="150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25">
      <c r="B28" s="10"/>
      <c r="C28" s="61"/>
      <c r="D28" s="70"/>
      <c r="F28" s="143"/>
      <c r="G28" s="144"/>
      <c r="H28" s="145"/>
      <c r="J28" s="138"/>
      <c r="L28" s="153"/>
      <c r="M28" s="69"/>
      <c r="N28" s="27"/>
      <c r="O28" s="149"/>
      <c r="P28" s="150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25">
      <c r="B29" s="10"/>
      <c r="C29" s="61"/>
      <c r="D29" s="11"/>
      <c r="F29" s="143"/>
      <c r="G29" s="144"/>
      <c r="H29" s="145"/>
      <c r="J29" s="138"/>
      <c r="L29" s="153"/>
      <c r="M29" s="69"/>
      <c r="N29" s="27"/>
      <c r="O29" s="149"/>
      <c r="P29" s="150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25">
      <c r="B30" s="10"/>
      <c r="C30" s="61"/>
      <c r="D30" s="11"/>
      <c r="F30" s="143"/>
      <c r="G30" s="144"/>
      <c r="H30" s="145"/>
      <c r="J30" s="138"/>
      <c r="L30" s="153"/>
      <c r="M30" s="68"/>
      <c r="N30" s="28"/>
      <c r="O30" s="149"/>
      <c r="P30" s="150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">
      <c r="B31" s="10"/>
      <c r="C31" s="61"/>
      <c r="D31" s="11"/>
      <c r="F31" s="146"/>
      <c r="G31" s="147"/>
      <c r="H31" s="148"/>
      <c r="J31" s="139"/>
      <c r="L31" s="153"/>
      <c r="M31" s="66"/>
      <c r="N31" s="35"/>
      <c r="O31" s="149"/>
      <c r="P31" s="150"/>
    </row>
    <row r="32" spans="2:22" ht="15.75" thickBot="1" x14ac:dyDescent="0.3">
      <c r="B32" s="10"/>
      <c r="C32" s="61"/>
      <c r="D32" s="11"/>
    </row>
    <row r="33" spans="2:16" ht="16.5" thickBot="1" x14ac:dyDescent="0.3">
      <c r="B33" s="10"/>
      <c r="C33" s="61"/>
      <c r="D33" s="11"/>
      <c r="F33" s="72" t="s">
        <v>151</v>
      </c>
      <c r="G33" s="73" t="s">
        <v>158</v>
      </c>
      <c r="H33" s="74" t="s">
        <v>157</v>
      </c>
      <c r="J33" s="137" t="s">
        <v>164</v>
      </c>
      <c r="L33" s="33" t="s">
        <v>161</v>
      </c>
      <c r="M33" s="33" t="s">
        <v>162</v>
      </c>
      <c r="N33" s="33" t="s">
        <v>163</v>
      </c>
      <c r="O33" s="33" t="s">
        <v>217</v>
      </c>
      <c r="P33" s="33" t="s">
        <v>216</v>
      </c>
    </row>
    <row r="34" spans="2:16" ht="15" customHeight="1" thickTop="1" x14ac:dyDescent="0.25">
      <c r="B34" s="10"/>
      <c r="C34" s="61"/>
      <c r="D34" s="11"/>
      <c r="F34" s="75" t="s">
        <v>153</v>
      </c>
      <c r="G34" s="26">
        <v>0</v>
      </c>
      <c r="H34" s="26" t="s">
        <v>160</v>
      </c>
      <c r="J34" s="138"/>
      <c r="L34" s="134"/>
      <c r="M34" s="160" t="s">
        <v>160</v>
      </c>
      <c r="N34" s="134">
        <f>SUMIF(Resistencia_Elemental[Aplicável?],"SIM",Resistencia_Elemental[RD (n°)])+SUMIF(Resistencia_Fisico[Aplicável?],"SIM",Resistencia_Fisico[RD (n°)])</f>
        <v>0</v>
      </c>
      <c r="O34" s="160" t="s">
        <v>160</v>
      </c>
      <c r="P34" s="134">
        <f>(($L$34-$N$34) / IF($M$34="SIM",2,1)) - IF(O34 = "SIM",L53,0)</f>
        <v>0</v>
      </c>
    </row>
    <row r="35" spans="2:16" ht="14.45" customHeight="1" x14ac:dyDescent="0.25">
      <c r="B35" s="10"/>
      <c r="C35" s="61"/>
      <c r="D35" s="11"/>
      <c r="F35" s="75" t="s">
        <v>92</v>
      </c>
      <c r="G35" s="26">
        <v>0</v>
      </c>
      <c r="H35" s="26" t="s">
        <v>160</v>
      </c>
      <c r="J35" s="138"/>
      <c r="L35" s="135"/>
      <c r="M35" s="161"/>
      <c r="N35" s="135"/>
      <c r="O35" s="161"/>
      <c r="P35" s="135"/>
    </row>
    <row r="36" spans="2:16" ht="14.45" customHeight="1" x14ac:dyDescent="0.25">
      <c r="B36" s="10"/>
      <c r="C36" s="26"/>
      <c r="D36" s="11"/>
      <c r="F36" s="75" t="s">
        <v>156</v>
      </c>
      <c r="G36" s="26">
        <v>0</v>
      </c>
      <c r="H36" s="26" t="s">
        <v>160</v>
      </c>
      <c r="J36" s="138"/>
      <c r="L36" s="135"/>
      <c r="M36" s="161"/>
      <c r="N36" s="135"/>
      <c r="O36" s="161"/>
      <c r="P36" s="135"/>
    </row>
    <row r="37" spans="2:16" ht="14.45" customHeight="1" x14ac:dyDescent="0.25">
      <c r="B37" s="10"/>
      <c r="C37" s="26"/>
      <c r="D37" s="11"/>
      <c r="F37" s="75" t="s">
        <v>19</v>
      </c>
      <c r="G37" s="26">
        <v>0</v>
      </c>
      <c r="H37" s="26" t="s">
        <v>160</v>
      </c>
      <c r="J37" s="138"/>
      <c r="L37" s="135"/>
      <c r="M37" s="161"/>
      <c r="N37" s="135"/>
      <c r="O37" s="161"/>
      <c r="P37" s="135"/>
    </row>
    <row r="38" spans="2:16" ht="14.45" customHeight="1" x14ac:dyDescent="0.25">
      <c r="B38" s="10"/>
      <c r="C38" s="26"/>
      <c r="D38" s="11"/>
      <c r="F38" s="75" t="s">
        <v>152</v>
      </c>
      <c r="G38" s="26">
        <v>0</v>
      </c>
      <c r="H38" s="26" t="s">
        <v>160</v>
      </c>
      <c r="J38" s="138"/>
      <c r="L38" s="135"/>
      <c r="M38" s="161"/>
      <c r="N38" s="135"/>
      <c r="O38" s="161"/>
      <c r="P38" s="135"/>
    </row>
    <row r="39" spans="2:16" ht="14.45" customHeight="1" x14ac:dyDescent="0.25">
      <c r="B39" s="10"/>
      <c r="C39" s="26"/>
      <c r="D39" s="11"/>
      <c r="F39" s="75" t="s">
        <v>154</v>
      </c>
      <c r="G39" s="26">
        <v>0</v>
      </c>
      <c r="H39" s="26" t="s">
        <v>160</v>
      </c>
      <c r="J39" s="138"/>
      <c r="L39" s="135"/>
      <c r="M39" s="161"/>
      <c r="N39" s="135"/>
      <c r="O39" s="161"/>
      <c r="P39" s="135"/>
    </row>
    <row r="40" spans="2:16" ht="15" customHeight="1" thickBot="1" x14ac:dyDescent="0.3">
      <c r="B40" s="12"/>
      <c r="C40" s="97"/>
      <c r="D40" s="13"/>
      <c r="F40" s="75" t="s">
        <v>155</v>
      </c>
      <c r="G40" s="26">
        <v>0</v>
      </c>
      <c r="H40" s="26" t="s">
        <v>160</v>
      </c>
      <c r="J40" s="139"/>
      <c r="L40" s="136"/>
      <c r="M40" s="162"/>
      <c r="N40" s="136"/>
      <c r="O40" s="162"/>
      <c r="P40" s="136"/>
    </row>
    <row r="41" spans="2:16" ht="15.75" thickBot="1" x14ac:dyDescent="0.3">
      <c r="C41" s="26"/>
    </row>
    <row r="42" spans="2:16" ht="16.5" customHeight="1" thickBot="1" x14ac:dyDescent="0.3">
      <c r="B42" s="111" t="s">
        <v>8</v>
      </c>
      <c r="C42" s="112"/>
      <c r="D42" s="113"/>
      <c r="F42" s="72" t="s">
        <v>165</v>
      </c>
      <c r="G42" s="73" t="s">
        <v>158</v>
      </c>
      <c r="H42" s="74" t="s">
        <v>157</v>
      </c>
      <c r="J42" s="137" t="s">
        <v>180</v>
      </c>
      <c r="L42" s="76" t="s">
        <v>178</v>
      </c>
      <c r="M42" s="77" t="s">
        <v>183</v>
      </c>
      <c r="N42" s="167" t="s">
        <v>178</v>
      </c>
      <c r="O42" s="168"/>
    </row>
    <row r="43" spans="2:16" ht="15" customHeight="1" thickTop="1" x14ac:dyDescent="0.25">
      <c r="B43" s="7" t="s">
        <v>10</v>
      </c>
      <c r="C43" s="8" t="s">
        <v>146</v>
      </c>
      <c r="D43" s="9" t="s">
        <v>147</v>
      </c>
      <c r="F43" s="75" t="s">
        <v>167</v>
      </c>
      <c r="G43" s="26">
        <v>0</v>
      </c>
      <c r="H43" s="26" t="s">
        <v>160</v>
      </c>
      <c r="J43" s="138"/>
      <c r="L43" s="94" t="s">
        <v>188</v>
      </c>
      <c r="M43" s="94"/>
      <c r="N43" s="163" t="s">
        <v>218</v>
      </c>
      <c r="O43" s="164"/>
    </row>
    <row r="44" spans="2:16" ht="15.6" customHeight="1" x14ac:dyDescent="0.25">
      <c r="B44" s="58"/>
      <c r="C44" s="59">
        <v>0.05</v>
      </c>
      <c r="D44" s="60" t="s">
        <v>148</v>
      </c>
      <c r="F44" s="75" t="s">
        <v>169</v>
      </c>
      <c r="G44" s="26">
        <v>0</v>
      </c>
      <c r="H44" s="26" t="s">
        <v>160</v>
      </c>
      <c r="J44" s="138"/>
      <c r="L44" s="76" t="s">
        <v>179</v>
      </c>
      <c r="M44" s="76"/>
      <c r="N44" s="163"/>
      <c r="O44" s="164"/>
    </row>
    <row r="45" spans="2:16" ht="15" customHeight="1" x14ac:dyDescent="0.25">
      <c r="B45" s="10"/>
      <c r="C45" s="61">
        <v>0.15</v>
      </c>
      <c r="D45" s="62" t="s">
        <v>148</v>
      </c>
      <c r="F45" s="75" t="s">
        <v>113</v>
      </c>
      <c r="G45" s="26">
        <v>0</v>
      </c>
      <c r="H45" s="26" t="s">
        <v>160</v>
      </c>
      <c r="J45" s="138"/>
      <c r="L45" s="95"/>
      <c r="M45" s="96"/>
      <c r="N45" s="163"/>
      <c r="O45" s="164"/>
    </row>
    <row r="46" spans="2:16" ht="15.6" customHeight="1" x14ac:dyDescent="0.25">
      <c r="B46" s="10"/>
      <c r="C46" s="61">
        <v>0.25</v>
      </c>
      <c r="D46" s="63" t="s">
        <v>148</v>
      </c>
      <c r="F46" s="75" t="s">
        <v>168</v>
      </c>
      <c r="G46" s="26">
        <v>0</v>
      </c>
      <c r="H46" s="26" t="s">
        <v>160</v>
      </c>
      <c r="J46" s="138"/>
      <c r="L46" s="76" t="s">
        <v>11</v>
      </c>
      <c r="M46" s="76"/>
      <c r="N46" s="163"/>
      <c r="O46" s="164"/>
    </row>
    <row r="47" spans="2:16" ht="15" customHeight="1" x14ac:dyDescent="0.25">
      <c r="B47" s="10"/>
      <c r="C47" s="61">
        <v>0.35</v>
      </c>
      <c r="D47" s="63" t="s">
        <v>149</v>
      </c>
      <c r="F47" s="75" t="s">
        <v>172</v>
      </c>
      <c r="G47" s="26">
        <v>0</v>
      </c>
      <c r="H47" s="26" t="s">
        <v>160</v>
      </c>
      <c r="J47" s="138"/>
      <c r="L47" s="95"/>
      <c r="M47" s="96"/>
      <c r="N47" s="163"/>
      <c r="O47" s="164"/>
    </row>
    <row r="48" spans="2:16" ht="15.6" customHeight="1" x14ac:dyDescent="0.25">
      <c r="B48" s="10"/>
      <c r="C48" s="61">
        <v>0.45</v>
      </c>
      <c r="D48" s="63" t="s">
        <v>149</v>
      </c>
      <c r="F48" s="75" t="s">
        <v>166</v>
      </c>
      <c r="G48" s="26">
        <v>0</v>
      </c>
      <c r="H48" s="26" t="s">
        <v>160</v>
      </c>
      <c r="J48" s="138"/>
      <c r="L48" s="76" t="s">
        <v>181</v>
      </c>
      <c r="M48" s="76" t="s">
        <v>213</v>
      </c>
      <c r="N48" s="163"/>
      <c r="O48" s="164"/>
    </row>
    <row r="49" spans="2:16" ht="15" customHeight="1" x14ac:dyDescent="0.25">
      <c r="B49" s="10"/>
      <c r="C49" s="61">
        <v>0.55000000000000004</v>
      </c>
      <c r="D49" s="62" t="s">
        <v>150</v>
      </c>
      <c r="F49" s="75" t="s">
        <v>170</v>
      </c>
      <c r="G49" s="26">
        <v>0</v>
      </c>
      <c r="H49" s="26" t="s">
        <v>160</v>
      </c>
      <c r="J49" s="138"/>
      <c r="L49" s="95"/>
      <c r="M49" s="94"/>
      <c r="N49" s="163"/>
      <c r="O49" s="164"/>
    </row>
    <row r="50" spans="2:16" ht="15.6" customHeight="1" thickBot="1" x14ac:dyDescent="0.3">
      <c r="B50" s="10"/>
      <c r="C50" s="61">
        <v>0.65</v>
      </c>
      <c r="D50" s="63" t="s">
        <v>150</v>
      </c>
      <c r="F50" s="75" t="s">
        <v>171</v>
      </c>
      <c r="G50" s="26">
        <v>0</v>
      </c>
      <c r="H50" s="26" t="s">
        <v>160</v>
      </c>
      <c r="J50" s="139"/>
      <c r="L50" s="76"/>
      <c r="M50" s="76"/>
      <c r="N50" s="165"/>
      <c r="O50" s="166"/>
    </row>
    <row r="51" spans="2:16" ht="15.75" thickBot="1" x14ac:dyDescent="0.3">
      <c r="B51" s="10"/>
      <c r="C51" s="61">
        <v>0.75</v>
      </c>
      <c r="D51" s="63" t="s">
        <v>175</v>
      </c>
    </row>
    <row r="52" spans="2:16" ht="16.5" thickBot="1" x14ac:dyDescent="0.3">
      <c r="B52" s="10"/>
      <c r="C52" s="61">
        <v>0.85</v>
      </c>
      <c r="D52" s="63" t="s">
        <v>174</v>
      </c>
      <c r="F52" s="87" t="s">
        <v>212</v>
      </c>
      <c r="G52" s="179" t="s">
        <v>211</v>
      </c>
      <c r="H52" s="180"/>
      <c r="J52" s="137" t="s">
        <v>198</v>
      </c>
      <c r="L52" s="76" t="s">
        <v>195</v>
      </c>
      <c r="N52" s="76" t="s">
        <v>196</v>
      </c>
      <c r="P52" s="76" t="s">
        <v>197</v>
      </c>
    </row>
    <row r="53" spans="2:16" ht="14.45" customHeight="1" x14ac:dyDescent="0.25">
      <c r="B53" s="10"/>
      <c r="C53" s="61">
        <v>0.95</v>
      </c>
      <c r="D53" s="63" t="s">
        <v>176</v>
      </c>
      <c r="F53" s="169">
        <v>0</v>
      </c>
      <c r="G53" s="173">
        <f>F53 + COUNTA(Passagem!B3:B22)</f>
        <v>0</v>
      </c>
      <c r="H53" s="174"/>
      <c r="J53" s="138"/>
      <c r="L53" s="169">
        <f>$P$3 + IF($T$10 = "Calejado", 2, IF($T$10 = "Experiente", 3, IF($T$10="Mestre",4,0))) + IF(G20 = "Robusto",P8,0)</f>
        <v>0</v>
      </c>
      <c r="N53" s="169" t="s">
        <v>160</v>
      </c>
      <c r="P53" s="169">
        <f>5 + VLOOKUP("Percepção", Atributos[], 5, TRUE)</f>
        <v>5</v>
      </c>
    </row>
    <row r="54" spans="2:16" ht="14.45" customHeight="1" x14ac:dyDescent="0.25">
      <c r="B54" s="10"/>
      <c r="C54" s="61" t="s">
        <v>177</v>
      </c>
      <c r="D54" s="63"/>
      <c r="F54" s="170"/>
      <c r="G54" s="175"/>
      <c r="H54" s="176"/>
      <c r="J54" s="138"/>
      <c r="L54" s="170"/>
      <c r="N54" s="170"/>
      <c r="P54" s="170"/>
    </row>
    <row r="55" spans="2:16" ht="14.45" customHeight="1" x14ac:dyDescent="0.25">
      <c r="B55" s="10"/>
      <c r="C55" s="61" t="s">
        <v>177</v>
      </c>
      <c r="D55" s="63"/>
      <c r="F55" s="170"/>
      <c r="G55" s="175"/>
      <c r="H55" s="176"/>
      <c r="J55" s="138"/>
      <c r="L55" s="170"/>
      <c r="N55" s="170"/>
      <c r="P55" s="170"/>
    </row>
    <row r="56" spans="2:16" ht="14.45" customHeight="1" x14ac:dyDescent="0.25">
      <c r="B56" s="10"/>
      <c r="C56" s="61" t="s">
        <v>177</v>
      </c>
      <c r="D56" s="63"/>
      <c r="F56" s="170"/>
      <c r="G56" s="175"/>
      <c r="H56" s="176"/>
      <c r="J56" s="138"/>
      <c r="L56" s="170"/>
      <c r="N56" s="170"/>
      <c r="P56" s="170"/>
    </row>
    <row r="57" spans="2:16" ht="14.45" customHeight="1" x14ac:dyDescent="0.25">
      <c r="B57" s="10"/>
      <c r="C57" s="61" t="s">
        <v>177</v>
      </c>
      <c r="D57" s="63"/>
      <c r="F57" s="170"/>
      <c r="G57" s="175"/>
      <c r="H57" s="176"/>
      <c r="J57" s="138"/>
      <c r="L57" s="170"/>
      <c r="N57" s="170"/>
      <c r="P57" s="170"/>
    </row>
    <row r="58" spans="2:16" ht="15" customHeight="1" thickBot="1" x14ac:dyDescent="0.3">
      <c r="B58" s="10"/>
      <c r="C58" s="61" t="s">
        <v>177</v>
      </c>
      <c r="D58" s="63"/>
      <c r="F58" s="171"/>
      <c r="G58" s="177"/>
      <c r="H58" s="178"/>
      <c r="J58" s="139"/>
      <c r="L58" s="171"/>
      <c r="N58" s="171"/>
      <c r="P58" s="171"/>
    </row>
    <row r="59" spans="2:16" x14ac:dyDescent="0.25">
      <c r="B59" s="10"/>
      <c r="C59" s="61" t="s">
        <v>177</v>
      </c>
      <c r="D59" s="63"/>
    </row>
    <row r="60" spans="2:16" x14ac:dyDescent="0.25">
      <c r="B60" s="10"/>
      <c r="C60" s="61" t="s">
        <v>177</v>
      </c>
      <c r="D60" s="63"/>
    </row>
    <row r="61" spans="2:16" x14ac:dyDescent="0.25">
      <c r="B61" s="10"/>
      <c r="C61" s="61" t="s">
        <v>177</v>
      </c>
      <c r="D61" s="63"/>
    </row>
    <row r="62" spans="2:16" x14ac:dyDescent="0.25">
      <c r="B62" s="10"/>
      <c r="C62" s="61" t="s">
        <v>177</v>
      </c>
      <c r="D62" s="63"/>
    </row>
    <row r="63" spans="2:16" x14ac:dyDescent="0.25">
      <c r="B63" s="12"/>
      <c r="C63" s="64" t="s">
        <v>177</v>
      </c>
      <c r="D63" s="65"/>
    </row>
    <row r="1048576" spans="1:4" x14ac:dyDescent="0.25">
      <c r="A1048576" s="172" t="s">
        <v>214</v>
      </c>
      <c r="B1048576" s="172"/>
      <c r="C1048576">
        <f>(P6 * 2.5)</f>
        <v>0</v>
      </c>
      <c r="D1048576" t="s">
        <v>194</v>
      </c>
    </row>
  </sheetData>
  <mergeCells count="51">
    <mergeCell ref="L53:L58"/>
    <mergeCell ref="N53:N58"/>
    <mergeCell ref="P53:P58"/>
    <mergeCell ref="A1048576:B1048576"/>
    <mergeCell ref="J52:J58"/>
    <mergeCell ref="F53:F58"/>
    <mergeCell ref="G53:H58"/>
    <mergeCell ref="G52:H52"/>
    <mergeCell ref="J33:J40"/>
    <mergeCell ref="J42:J50"/>
    <mergeCell ref="N34:N40"/>
    <mergeCell ref="M34:M40"/>
    <mergeCell ref="L34:L40"/>
    <mergeCell ref="N43:O50"/>
    <mergeCell ref="N42:O42"/>
    <mergeCell ref="O34:O40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G4:H4"/>
    <mergeCell ref="B42:D42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17:P20"/>
    <mergeCell ref="O17:O20"/>
    <mergeCell ref="N17:N20"/>
    <mergeCell ref="L17:L20"/>
    <mergeCell ref="M17:M20"/>
  </mergeCells>
  <dataValidations count="2">
    <dataValidation type="list" showInputMessage="1" showErrorMessage="1" sqref="L49" xr:uid="{08959939-6A52-44E8-85B5-FE86F357123D}">
      <formula1>$R$3:$R$31</formula1>
    </dataValidation>
    <dataValidation type="list" showInputMessage="1" showErrorMessage="1" sqref="M49" xr:uid="{98A1FF10-7E63-4B46-9CF5-47CD927D1B50}">
      <formula1>$L$3:$L$9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 O34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  <x14:dataValidation type="list" allowBlank="1" showInputMessage="1" showErrorMessage="1" xr:uid="{48253120-69FF-41CD-8739-6F1FB7C35687}">
          <x14:formula1>
            <xm:f>Subclasse!$I:$I</xm:f>
          </x14:formula1>
          <xm:sqref>G20:H20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9FA25-56CC-4106-B9D4-C4C02432AC94}">
  <dimension ref="A1:I37"/>
  <sheetViews>
    <sheetView workbookViewId="0">
      <selection activeCell="B22" sqref="B22"/>
    </sheetView>
  </sheetViews>
  <sheetFormatPr defaultRowHeight="15" x14ac:dyDescent="0.25"/>
  <cols>
    <col min="1" max="1" width="9.7109375" customWidth="1"/>
    <col min="2" max="2" width="20.7109375" bestFit="1" customWidth="1"/>
  </cols>
  <sheetData>
    <row r="1" spans="1:9" x14ac:dyDescent="0.25">
      <c r="A1" t="s">
        <v>26</v>
      </c>
      <c r="B1" t="s">
        <v>219</v>
      </c>
      <c r="I1" t="str" cm="1">
        <f t="array" ref="I1">IFERROR(_xlfn._xlws.FILTER(Subclasses[Subclasse],Subclasses[Classe]=Básico!G18), "Selecione a classe primeiro...")</f>
        <v>Selecione a classe primeiro...</v>
      </c>
    </row>
    <row r="2" spans="1:9" x14ac:dyDescent="0.25">
      <c r="A2" t="s">
        <v>27</v>
      </c>
      <c r="B2" t="s">
        <v>220</v>
      </c>
    </row>
    <row r="3" spans="1:9" x14ac:dyDescent="0.25">
      <c r="A3" t="s">
        <v>27</v>
      </c>
      <c r="B3" t="s">
        <v>221</v>
      </c>
    </row>
    <row r="4" spans="1:9" x14ac:dyDescent="0.25">
      <c r="A4" t="s">
        <v>27</v>
      </c>
      <c r="B4" t="s">
        <v>222</v>
      </c>
    </row>
    <row r="5" spans="1:9" x14ac:dyDescent="0.25">
      <c r="A5" t="s">
        <v>27</v>
      </c>
      <c r="B5" t="s">
        <v>223</v>
      </c>
    </row>
    <row r="6" spans="1:9" x14ac:dyDescent="0.25">
      <c r="A6" t="s">
        <v>27</v>
      </c>
      <c r="B6" t="s">
        <v>224</v>
      </c>
    </row>
    <row r="7" spans="1:9" x14ac:dyDescent="0.25">
      <c r="A7" t="s">
        <v>27</v>
      </c>
      <c r="B7" t="s">
        <v>225</v>
      </c>
    </row>
    <row r="8" spans="1:9" x14ac:dyDescent="0.25">
      <c r="A8" t="s">
        <v>27</v>
      </c>
      <c r="B8" t="s">
        <v>226</v>
      </c>
    </row>
    <row r="9" spans="1:9" x14ac:dyDescent="0.25">
      <c r="A9" t="s">
        <v>27</v>
      </c>
      <c r="B9" t="s">
        <v>227</v>
      </c>
    </row>
    <row r="10" spans="1:9" x14ac:dyDescent="0.25">
      <c r="A10" t="s">
        <v>27</v>
      </c>
      <c r="B10" t="s">
        <v>228</v>
      </c>
    </row>
    <row r="11" spans="1:9" x14ac:dyDescent="0.25">
      <c r="A11" t="s">
        <v>27</v>
      </c>
      <c r="B11" t="s">
        <v>229</v>
      </c>
    </row>
    <row r="12" spans="1:9" x14ac:dyDescent="0.25">
      <c r="A12" t="s">
        <v>27</v>
      </c>
      <c r="B12" t="s">
        <v>230</v>
      </c>
    </row>
    <row r="13" spans="1:9" x14ac:dyDescent="0.25">
      <c r="A13" t="s">
        <v>27</v>
      </c>
      <c r="B13" t="s">
        <v>231</v>
      </c>
    </row>
    <row r="14" spans="1:9" x14ac:dyDescent="0.25">
      <c r="A14" t="s">
        <v>28</v>
      </c>
      <c r="B14" t="s">
        <v>232</v>
      </c>
    </row>
    <row r="15" spans="1:9" x14ac:dyDescent="0.25">
      <c r="A15" t="s">
        <v>28</v>
      </c>
      <c r="B15" t="s">
        <v>233</v>
      </c>
    </row>
    <row r="16" spans="1:9" x14ac:dyDescent="0.25">
      <c r="A16" t="s">
        <v>28</v>
      </c>
      <c r="B16" t="s">
        <v>234</v>
      </c>
    </row>
    <row r="17" spans="1:2" x14ac:dyDescent="0.25">
      <c r="A17" t="s">
        <v>28</v>
      </c>
      <c r="B17" t="s">
        <v>235</v>
      </c>
    </row>
    <row r="18" spans="1:2" x14ac:dyDescent="0.25">
      <c r="A18" t="s">
        <v>28</v>
      </c>
      <c r="B18" t="s">
        <v>236</v>
      </c>
    </row>
    <row r="19" spans="1:2" x14ac:dyDescent="0.25">
      <c r="A19" t="s">
        <v>28</v>
      </c>
      <c r="B19" t="s">
        <v>237</v>
      </c>
    </row>
    <row r="20" spans="1:2" x14ac:dyDescent="0.25">
      <c r="A20" t="s">
        <v>28</v>
      </c>
      <c r="B20" t="s">
        <v>238</v>
      </c>
    </row>
    <row r="21" spans="1:2" x14ac:dyDescent="0.25">
      <c r="A21" t="s">
        <v>28</v>
      </c>
      <c r="B21" t="s">
        <v>239</v>
      </c>
    </row>
    <row r="22" spans="1:2" x14ac:dyDescent="0.25">
      <c r="A22" t="s">
        <v>28</v>
      </c>
      <c r="B22" t="s">
        <v>240</v>
      </c>
    </row>
    <row r="23" spans="1:2" x14ac:dyDescent="0.25">
      <c r="A23" t="s">
        <v>28</v>
      </c>
      <c r="B23" t="s">
        <v>241</v>
      </c>
    </row>
    <row r="24" spans="1:2" x14ac:dyDescent="0.25">
      <c r="A24" t="s">
        <v>28</v>
      </c>
      <c r="B24" t="s">
        <v>242</v>
      </c>
    </row>
    <row r="25" spans="1:2" x14ac:dyDescent="0.25">
      <c r="A25" t="s">
        <v>28</v>
      </c>
      <c r="B25" t="s">
        <v>243</v>
      </c>
    </row>
    <row r="26" spans="1:2" x14ac:dyDescent="0.25">
      <c r="A26" t="s">
        <v>29</v>
      </c>
      <c r="B26" t="s">
        <v>244</v>
      </c>
    </row>
    <row r="27" spans="1:2" x14ac:dyDescent="0.25">
      <c r="A27" t="s">
        <v>29</v>
      </c>
      <c r="B27" t="s">
        <v>245</v>
      </c>
    </row>
    <row r="28" spans="1:2" x14ac:dyDescent="0.25">
      <c r="A28" t="s">
        <v>29</v>
      </c>
      <c r="B28" t="s">
        <v>246</v>
      </c>
    </row>
    <row r="29" spans="1:2" x14ac:dyDescent="0.25">
      <c r="A29" t="s">
        <v>29</v>
      </c>
      <c r="B29" t="s">
        <v>247</v>
      </c>
    </row>
    <row r="30" spans="1:2" x14ac:dyDescent="0.25">
      <c r="A30" t="s">
        <v>29</v>
      </c>
      <c r="B30" t="s">
        <v>248</v>
      </c>
    </row>
    <row r="31" spans="1:2" x14ac:dyDescent="0.25">
      <c r="A31" t="s">
        <v>29</v>
      </c>
      <c r="B31" t="s">
        <v>249</v>
      </c>
    </row>
    <row r="32" spans="1:2" x14ac:dyDescent="0.25">
      <c r="A32" t="s">
        <v>29</v>
      </c>
      <c r="B32" t="s">
        <v>250</v>
      </c>
    </row>
    <row r="33" spans="1:2" x14ac:dyDescent="0.25">
      <c r="A33" t="s">
        <v>29</v>
      </c>
      <c r="B33" t="s">
        <v>251</v>
      </c>
    </row>
    <row r="34" spans="1:2" x14ac:dyDescent="0.25">
      <c r="A34" t="s">
        <v>29</v>
      </c>
      <c r="B34" t="s">
        <v>252</v>
      </c>
    </row>
    <row r="35" spans="1:2" x14ac:dyDescent="0.25">
      <c r="A35" t="s">
        <v>29</v>
      </c>
      <c r="B35" t="s">
        <v>253</v>
      </c>
    </row>
    <row r="36" spans="1:2" x14ac:dyDescent="0.25">
      <c r="A36" t="s">
        <v>29</v>
      </c>
      <c r="B36" t="s">
        <v>254</v>
      </c>
    </row>
    <row r="37" spans="1:2" x14ac:dyDescent="0.25">
      <c r="A37" t="s">
        <v>29</v>
      </c>
      <c r="B37" t="s">
        <v>255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workbookViewId="0">
      <selection activeCell="D3" sqref="D3"/>
    </sheetView>
  </sheetViews>
  <sheetFormatPr defaultRowHeight="15" x14ac:dyDescent="0.25"/>
  <cols>
    <col min="1" max="1" width="1.7109375" customWidth="1"/>
    <col min="2" max="2" width="3.7109375" customWidth="1"/>
    <col min="3" max="3" width="1.7109375" customWidth="1"/>
    <col min="4" max="4" width="11.140625" bestFit="1" customWidth="1"/>
    <col min="5" max="9" width="10.7109375" customWidth="1"/>
    <col min="10" max="10" width="11.42578125" bestFit="1" customWidth="1"/>
    <col min="11" max="11" width="10.7109375" customWidth="1"/>
    <col min="12" max="12" width="11.7109375" bestFit="1" customWidth="1"/>
    <col min="13" max="13" width="1.7109375" customWidth="1"/>
    <col min="14" max="14" width="11.42578125" bestFit="1" customWidth="1"/>
    <col min="15" max="15" width="6.42578125" bestFit="1" customWidth="1"/>
    <col min="16" max="16" width="7.7109375" bestFit="1" customWidth="1"/>
  </cols>
  <sheetData>
    <row r="1" spans="2:16" ht="0.95" customHeight="1" thickBot="1" x14ac:dyDescent="0.3"/>
    <row r="2" spans="2:16" x14ac:dyDescent="0.25">
      <c r="B2" s="157" t="s">
        <v>88</v>
      </c>
      <c r="D2" s="26" t="s">
        <v>10</v>
      </c>
      <c r="E2" s="26" t="s">
        <v>51</v>
      </c>
      <c r="F2" s="26" t="s">
        <v>12</v>
      </c>
      <c r="G2" s="26" t="s">
        <v>89</v>
      </c>
      <c r="H2" s="26" t="s">
        <v>90</v>
      </c>
      <c r="I2" s="26" t="s">
        <v>11</v>
      </c>
      <c r="J2" s="26" t="s">
        <v>91</v>
      </c>
      <c r="K2" s="26" t="s">
        <v>92</v>
      </c>
      <c r="L2" s="26" t="s">
        <v>93</v>
      </c>
    </row>
    <row r="3" spans="2:16" x14ac:dyDescent="0.25">
      <c r="B3" s="158"/>
      <c r="D3" s="26" t="s">
        <v>257</v>
      </c>
      <c r="E3" s="26" t="str">
        <f>_xlfn.XLOOKUP(Armamento[[#This Row],[Nome]], Armas[Armas], Armas[Custo], "")</f>
        <v>–</v>
      </c>
      <c r="F3" s="26" t="str">
        <f>_xlfn.XLOOKUP(Armamento[[#This Row],[Nome]], Armas[Armas], Armas[Rolagem], "")</f>
        <v>1d3</v>
      </c>
      <c r="G3" s="26" t="str">
        <f>_xlfn.XLOOKUP(Armamento[[#This Row],[Nome]], Armas[Armas], Armas[Crítico], "")</f>
        <v>10/+1d</v>
      </c>
      <c r="H3" s="56" t="str">
        <f>_xlfn.XLOOKUP(Armamento[[#This Row],[Nome]], Armas[Armas], Armas[Alcance], "")</f>
        <v>–</v>
      </c>
      <c r="I3" s="26" t="str">
        <f>_xlfn.XLOOKUP(Armamento[[#This Row],[Nome]], Armas[Armas], Armas[Dano], "")</f>
        <v>I</v>
      </c>
      <c r="J3" s="56">
        <f>_xlfn.XLOOKUP(Armamento[[#This Row],[Nome]], Armas[Armas], Armas[Recarga], "")</f>
        <v>0</v>
      </c>
      <c r="K3" s="26" t="str">
        <f>_xlfn.XLOOKUP(Armamento[[#This Row],[Nome]], Armas[Armas], Armas[Espaço], "")</f>
        <v>–</v>
      </c>
      <c r="L3" s="26" t="str">
        <f>_xlfn.XLOOKUP(Armamento[[#This Row],[Nome]], Armas[Armas], Armas[Especial], "")</f>
        <v>–</v>
      </c>
    </row>
    <row r="4" spans="2:16" x14ac:dyDescent="0.25">
      <c r="B4" s="158"/>
      <c r="D4" s="26"/>
      <c r="E4" s="26" t="str">
        <f>_xlfn.XLOOKUP(Armamento[[#This Row],[Nome]], Armas[Armas], Armas[Custo], "")</f>
        <v/>
      </c>
      <c r="F4" s="26" t="str">
        <f>_xlfn.XLOOKUP(Armamento[[#This Row],[Nome]], Armas[Armas], Armas[Rolagem], "")</f>
        <v/>
      </c>
      <c r="G4" s="26" t="str">
        <f>_xlfn.XLOOKUP(Armamento[[#This Row],[Nome]], Armas[Armas], Armas[Crítico], "")</f>
        <v/>
      </c>
      <c r="H4" s="26" t="str">
        <f>_xlfn.XLOOKUP(Armamento[[#This Row],[Nome]], Armas[Armas], Armas[Alcance], "")</f>
        <v/>
      </c>
      <c r="I4" s="26" t="str">
        <f>_xlfn.XLOOKUP(Armamento[[#This Row],[Nome]], Armas[Armas], Armas[Dano], "")</f>
        <v/>
      </c>
      <c r="J4" s="26" t="str">
        <f>_xlfn.XLOOKUP(Armamento[[#This Row],[Nome]], Armas[Armas], Armas[Recarga], "")</f>
        <v/>
      </c>
      <c r="K4" s="26" t="str">
        <f>_xlfn.XLOOKUP(Armamento[[#This Row],[Nome]], Armas[Armas], Armas[Espaço], "")</f>
        <v/>
      </c>
      <c r="L4" s="26" t="str">
        <f>_xlfn.XLOOKUP(Armamento[[#This Row],[Nome]], Armas[Armas], Armas[Especial], "")</f>
        <v/>
      </c>
    </row>
    <row r="5" spans="2:16" ht="15.75" thickBot="1" x14ac:dyDescent="0.3">
      <c r="B5" s="158"/>
    </row>
    <row r="6" spans="2:16" ht="16.5" thickBot="1" x14ac:dyDescent="0.3">
      <c r="B6" s="158"/>
      <c r="D6" s="196" t="s">
        <v>130</v>
      </c>
      <c r="E6" s="197"/>
      <c r="F6" s="197"/>
      <c r="G6" s="197"/>
      <c r="H6" s="197"/>
      <c r="I6" s="197"/>
      <c r="J6" s="197"/>
      <c r="K6" s="197"/>
      <c r="L6" s="198"/>
    </row>
    <row r="7" spans="2:16" ht="50.1" customHeight="1" thickBot="1" x14ac:dyDescent="0.3">
      <c r="B7" s="158"/>
      <c r="D7" s="199"/>
      <c r="E7" s="200"/>
      <c r="F7" s="200"/>
      <c r="G7" s="200"/>
      <c r="H7" s="200"/>
      <c r="I7" s="200"/>
      <c r="J7" s="200"/>
      <c r="K7" s="200"/>
      <c r="L7" s="201"/>
    </row>
    <row r="8" spans="2:16" ht="50.1" customHeight="1" thickBot="1" x14ac:dyDescent="0.3">
      <c r="B8" s="158"/>
      <c r="D8" s="199"/>
      <c r="E8" s="200"/>
      <c r="F8" s="200"/>
      <c r="G8" s="200"/>
      <c r="H8" s="200"/>
      <c r="I8" s="200"/>
      <c r="J8" s="200"/>
      <c r="K8" s="200"/>
      <c r="L8" s="201"/>
    </row>
    <row r="9" spans="2:16" ht="15.75" thickBot="1" x14ac:dyDescent="0.3">
      <c r="B9" s="158"/>
    </row>
    <row r="10" spans="2:16" ht="16.5" thickBot="1" x14ac:dyDescent="0.3">
      <c r="B10" s="158"/>
      <c r="D10" s="196" t="s">
        <v>95</v>
      </c>
      <c r="E10" s="198"/>
      <c r="F10" s="196" t="s">
        <v>96</v>
      </c>
      <c r="G10" s="198"/>
      <c r="I10" s="43" t="s">
        <v>97</v>
      </c>
      <c r="J10" s="44" t="s">
        <v>98</v>
      </c>
      <c r="K10" s="44" t="s">
        <v>51</v>
      </c>
      <c r="L10" s="45" t="s">
        <v>92</v>
      </c>
    </row>
    <row r="11" spans="2:16" x14ac:dyDescent="0.25">
      <c r="B11" s="158"/>
      <c r="D11" s="202">
        <f>7+IF(Básico!P3&gt;0,Básico!P3*2,Básico!P3)</f>
        <v>7</v>
      </c>
      <c r="E11" s="203"/>
      <c r="F11" s="202">
        <f>D11-SUM(Armamento[Espaço])-SUM(Defesa[Espaço])-SUM(Acessórios[Espaço])</f>
        <v>7</v>
      </c>
      <c r="G11" s="203"/>
      <c r="I11" s="46"/>
      <c r="J11" s="47" t="s">
        <v>143</v>
      </c>
      <c r="K11" s="47" t="s">
        <v>143</v>
      </c>
      <c r="L11" s="48" t="s">
        <v>143</v>
      </c>
    </row>
    <row r="12" spans="2:16" ht="15.75" thickBot="1" x14ac:dyDescent="0.3">
      <c r="B12" s="159"/>
      <c r="D12" s="204"/>
      <c r="E12" s="205"/>
      <c r="F12" s="204"/>
      <c r="G12" s="205"/>
      <c r="I12" s="49"/>
      <c r="J12" s="50" t="s">
        <v>143</v>
      </c>
      <c r="K12" s="50" t="s">
        <v>143</v>
      </c>
      <c r="L12" s="51" t="s">
        <v>143</v>
      </c>
    </row>
    <row r="13" spans="2:16" ht="15.75" thickBot="1" x14ac:dyDescent="0.3"/>
    <row r="14" spans="2:16" ht="20.25" thickBot="1" x14ac:dyDescent="0.3">
      <c r="B14" s="137" t="s">
        <v>99</v>
      </c>
      <c r="D14" s="52" t="s">
        <v>100</v>
      </c>
      <c r="E14" s="53" t="s">
        <v>101</v>
      </c>
      <c r="F14" s="53" t="s">
        <v>14</v>
      </c>
      <c r="G14" s="54" t="s">
        <v>102</v>
      </c>
      <c r="I14" s="187" t="s">
        <v>142</v>
      </c>
      <c r="J14" s="188"/>
      <c r="K14" s="188"/>
      <c r="L14" s="189"/>
      <c r="N14" s="55"/>
      <c r="O14" s="55"/>
      <c r="P14" s="55"/>
    </row>
    <row r="15" spans="2:16" ht="15" customHeight="1" thickTop="1" x14ac:dyDescent="0.25">
      <c r="B15" s="138"/>
      <c r="D15" s="193" t="str">
        <f>IFERROR(VLOOKUP(Básico!G10,Rank[],3,TRUE),"")</f>
        <v/>
      </c>
      <c r="E15" s="193" t="str">
        <f>IF(D15&lt;&gt;"",SUM(Armamento[Custo])+SUM(Acessórios[Custo])+SUM(Defesa[Custo])+SUM(K16:L31),"")</f>
        <v/>
      </c>
      <c r="F15" s="193"/>
      <c r="G15" s="193" t="str">
        <f>IF(D15&lt;&gt;"",D15-E15-F15,"")</f>
        <v/>
      </c>
      <c r="I15" s="190" t="s">
        <v>10</v>
      </c>
      <c r="J15" s="191"/>
      <c r="K15" s="191" t="s">
        <v>141</v>
      </c>
      <c r="L15" s="192"/>
      <c r="N15" s="55"/>
      <c r="O15" s="55"/>
      <c r="P15" s="55"/>
    </row>
    <row r="16" spans="2:16" ht="15" customHeight="1" x14ac:dyDescent="0.25">
      <c r="B16" s="138"/>
      <c r="D16" s="194"/>
      <c r="E16" s="194"/>
      <c r="F16" s="194"/>
      <c r="G16" s="194"/>
      <c r="I16" s="184"/>
      <c r="J16" s="185"/>
      <c r="K16" s="185"/>
      <c r="L16" s="186"/>
      <c r="N16" s="55"/>
      <c r="O16" s="55"/>
      <c r="P16" s="55"/>
    </row>
    <row r="17" spans="2:16" ht="15" customHeight="1" x14ac:dyDescent="0.25">
      <c r="B17" s="138"/>
      <c r="D17" s="194"/>
      <c r="E17" s="194"/>
      <c r="F17" s="194"/>
      <c r="G17" s="194"/>
      <c r="I17" s="184"/>
      <c r="J17" s="185"/>
      <c r="K17" s="185"/>
      <c r="L17" s="186"/>
      <c r="N17" s="55"/>
      <c r="O17" s="55"/>
      <c r="P17" s="55"/>
    </row>
    <row r="18" spans="2:16" ht="15" customHeight="1" x14ac:dyDescent="0.25">
      <c r="B18" s="138"/>
      <c r="D18" s="194"/>
      <c r="E18" s="194"/>
      <c r="F18" s="194"/>
      <c r="G18" s="194"/>
      <c r="H18" s="57"/>
      <c r="I18" s="184"/>
      <c r="J18" s="185"/>
      <c r="K18" s="185"/>
      <c r="L18" s="186"/>
      <c r="N18" s="55"/>
      <c r="O18" s="55"/>
      <c r="P18" s="55"/>
    </row>
    <row r="19" spans="2:16" ht="15.75" customHeight="1" thickBot="1" x14ac:dyDescent="0.3">
      <c r="B19" s="139"/>
      <c r="D19" s="195"/>
      <c r="E19" s="195"/>
      <c r="F19" s="195"/>
      <c r="G19" s="195"/>
      <c r="I19" s="184"/>
      <c r="J19" s="185"/>
      <c r="K19" s="185"/>
      <c r="L19" s="186"/>
      <c r="N19" s="55"/>
      <c r="O19" s="55"/>
      <c r="P19" s="55"/>
    </row>
    <row r="20" spans="2:16" ht="15.75" customHeight="1" thickBot="1" x14ac:dyDescent="0.3">
      <c r="I20" s="184"/>
      <c r="J20" s="185"/>
      <c r="K20" s="185"/>
      <c r="L20" s="186"/>
    </row>
    <row r="21" spans="2:16" ht="16.5" customHeight="1" thickBot="1" x14ac:dyDescent="0.3">
      <c r="B21" s="137" t="s">
        <v>14</v>
      </c>
      <c r="D21" s="40" t="s">
        <v>94</v>
      </c>
      <c r="E21" s="41" t="s">
        <v>51</v>
      </c>
      <c r="F21" s="42" t="s">
        <v>92</v>
      </c>
      <c r="I21" s="184"/>
      <c r="J21" s="185"/>
      <c r="K21" s="185"/>
      <c r="L21" s="186"/>
    </row>
    <row r="22" spans="2:16" ht="15.75" customHeight="1" thickTop="1" x14ac:dyDescent="0.25">
      <c r="B22" s="138"/>
      <c r="D22" s="26"/>
      <c r="E22" s="26"/>
      <c r="F22" s="26"/>
      <c r="I22" s="184"/>
      <c r="J22" s="185"/>
      <c r="K22" s="185"/>
      <c r="L22" s="186"/>
    </row>
    <row r="23" spans="2:16" ht="15" customHeight="1" x14ac:dyDescent="0.25">
      <c r="B23" s="138"/>
      <c r="D23" s="26"/>
      <c r="E23" s="56"/>
      <c r="F23" s="26"/>
      <c r="I23" s="184"/>
      <c r="J23" s="185"/>
      <c r="K23" s="185"/>
      <c r="L23" s="186"/>
    </row>
    <row r="24" spans="2:16" ht="15" customHeight="1" x14ac:dyDescent="0.25">
      <c r="B24" s="138"/>
      <c r="D24" s="26"/>
      <c r="E24" s="26"/>
      <c r="F24" s="26"/>
      <c r="I24" s="184"/>
      <c r="J24" s="185"/>
      <c r="K24" s="185"/>
      <c r="L24" s="186"/>
    </row>
    <row r="25" spans="2:16" ht="15" customHeight="1" x14ac:dyDescent="0.25">
      <c r="B25" s="138"/>
      <c r="D25" s="26"/>
      <c r="E25" s="26"/>
      <c r="F25" s="26"/>
      <c r="I25" s="184"/>
      <c r="J25" s="185"/>
      <c r="K25" s="185"/>
      <c r="L25" s="186"/>
    </row>
    <row r="26" spans="2:16" ht="15.75" customHeight="1" x14ac:dyDescent="0.25">
      <c r="B26" s="138"/>
      <c r="D26" s="26"/>
      <c r="E26" s="26"/>
      <c r="F26" s="26"/>
      <c r="I26" s="184"/>
      <c r="J26" s="185"/>
      <c r="K26" s="185"/>
      <c r="L26" s="186"/>
    </row>
    <row r="27" spans="2:16" ht="15" customHeight="1" x14ac:dyDescent="0.25">
      <c r="B27" s="138"/>
      <c r="D27" s="26"/>
      <c r="E27" s="26"/>
      <c r="F27" s="26"/>
      <c r="I27" s="184"/>
      <c r="J27" s="185"/>
      <c r="K27" s="185"/>
      <c r="L27" s="186"/>
    </row>
    <row r="28" spans="2:16" ht="15" customHeight="1" x14ac:dyDescent="0.25">
      <c r="B28" s="138"/>
      <c r="D28" s="26"/>
      <c r="E28" s="26"/>
      <c r="F28" s="26"/>
      <c r="I28" s="184"/>
      <c r="J28" s="185"/>
      <c r="K28" s="185"/>
      <c r="L28" s="186"/>
    </row>
    <row r="29" spans="2:16" ht="15" customHeight="1" x14ac:dyDescent="0.25">
      <c r="B29" s="138"/>
      <c r="D29" s="26"/>
      <c r="E29" s="26"/>
      <c r="F29" s="26"/>
      <c r="I29" s="184"/>
      <c r="J29" s="185"/>
      <c r="K29" s="185"/>
      <c r="L29" s="186"/>
    </row>
    <row r="30" spans="2:16" ht="15" customHeight="1" x14ac:dyDescent="0.25">
      <c r="B30" s="138"/>
      <c r="D30" s="26"/>
      <c r="E30" s="26"/>
      <c r="F30" s="26"/>
      <c r="I30" s="184"/>
      <c r="J30" s="185"/>
      <c r="K30" s="185"/>
      <c r="L30" s="186"/>
    </row>
    <row r="31" spans="2:16" ht="15.75" customHeight="1" thickBot="1" x14ac:dyDescent="0.3">
      <c r="B31" s="139"/>
      <c r="D31" s="26"/>
      <c r="E31" s="26"/>
      <c r="F31" s="26"/>
      <c r="I31" s="181"/>
      <c r="J31" s="182"/>
      <c r="K31" s="182"/>
      <c r="L31" s="183"/>
    </row>
  </sheetData>
  <mergeCells count="49">
    <mergeCell ref="B2:B12"/>
    <mergeCell ref="D6:L6"/>
    <mergeCell ref="D7:L7"/>
    <mergeCell ref="D8:L8"/>
    <mergeCell ref="D10:E10"/>
    <mergeCell ref="F10:G10"/>
    <mergeCell ref="D11:E12"/>
    <mergeCell ref="F11:G12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K19:L19"/>
    <mergeCell ref="I20:J20"/>
    <mergeCell ref="K20:L20"/>
    <mergeCell ref="I21:J21"/>
    <mergeCell ref="K21:L21"/>
    <mergeCell ref="I22:J22"/>
    <mergeCell ref="K22:L22"/>
    <mergeCell ref="I23:J23"/>
    <mergeCell ref="K23:L23"/>
    <mergeCell ref="I24:J24"/>
    <mergeCell ref="K24:L24"/>
    <mergeCell ref="I25:J25"/>
    <mergeCell ref="K25:L25"/>
    <mergeCell ref="I26:J26"/>
    <mergeCell ref="K26:L26"/>
    <mergeCell ref="I30:J30"/>
    <mergeCell ref="K30:L30"/>
    <mergeCell ref="I31:J31"/>
    <mergeCell ref="K31:L31"/>
    <mergeCell ref="I27:J27"/>
    <mergeCell ref="K27:L27"/>
    <mergeCell ref="I28:J28"/>
    <mergeCell ref="K28:L28"/>
    <mergeCell ref="I29:J29"/>
    <mergeCell ref="K29:L29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24CDB7-AA92-4C59-831F-56422A1336A5}">
          <x14:formula1>
            <xm:f>Armas!$A$2:$A$51</xm:f>
          </x14:formula1>
          <xm:sqref>D3:D4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sheetPr codeName="Planilha8"/>
  <dimension ref="B1:P27"/>
  <sheetViews>
    <sheetView zoomScale="90" zoomScaleNormal="90" workbookViewId="0">
      <selection activeCell="D13" sqref="D13"/>
    </sheetView>
  </sheetViews>
  <sheetFormatPr defaultRowHeight="15" x14ac:dyDescent="0.25"/>
  <cols>
    <col min="1" max="1" width="3.28515625" customWidth="1"/>
    <col min="2" max="2" width="30.7109375" customWidth="1"/>
    <col min="3" max="3" width="16.140625" bestFit="1" customWidth="1"/>
    <col min="4" max="7" width="20.7109375" customWidth="1"/>
  </cols>
  <sheetData>
    <row r="1" spans="2:16" ht="10.15" customHeight="1" thickBot="1" x14ac:dyDescent="0.3"/>
    <row r="2" spans="2:16" ht="30" customHeight="1" x14ac:dyDescent="0.25">
      <c r="B2" s="78" t="s">
        <v>199</v>
      </c>
      <c r="C2" s="80" t="s">
        <v>203</v>
      </c>
      <c r="D2" s="79" t="s">
        <v>200</v>
      </c>
      <c r="E2" s="79" t="s">
        <v>201</v>
      </c>
      <c r="F2" s="244" t="s">
        <v>202</v>
      </c>
      <c r="G2" s="245"/>
      <c r="I2" s="210" t="s">
        <v>205</v>
      </c>
      <c r="J2" s="211"/>
      <c r="L2" s="210" t="s">
        <v>206</v>
      </c>
      <c r="M2" s="211"/>
      <c r="O2" s="210" t="s">
        <v>207</v>
      </c>
      <c r="P2" s="211"/>
    </row>
    <row r="3" spans="2:16" ht="15" customHeight="1" x14ac:dyDescent="0.3">
      <c r="B3" s="84"/>
      <c r="C3" s="81">
        <v>0.05</v>
      </c>
      <c r="D3" s="88"/>
      <c r="E3" s="89"/>
      <c r="F3" s="236"/>
      <c r="G3" s="237"/>
      <c r="I3" s="212"/>
      <c r="J3" s="213"/>
      <c r="L3" s="212"/>
      <c r="M3" s="213"/>
      <c r="O3" s="212"/>
      <c r="P3" s="213"/>
    </row>
    <row r="4" spans="2:16" ht="15" customHeight="1" x14ac:dyDescent="0.3">
      <c r="B4" s="85"/>
      <c r="C4" s="82">
        <v>0.1</v>
      </c>
      <c r="D4" s="90"/>
      <c r="E4" s="91"/>
      <c r="F4" s="234"/>
      <c r="G4" s="235"/>
      <c r="I4" s="240">
        <v>0</v>
      </c>
      <c r="J4" s="241"/>
      <c r="L4" s="214">
        <v>0</v>
      </c>
      <c r="M4" s="215"/>
      <c r="O4" s="218">
        <v>0</v>
      </c>
      <c r="P4" s="219"/>
    </row>
    <row r="5" spans="2:16" ht="15" customHeight="1" x14ac:dyDescent="0.3">
      <c r="B5" s="84"/>
      <c r="C5" s="81">
        <v>0.15</v>
      </c>
      <c r="D5" s="88"/>
      <c r="E5" s="89"/>
      <c r="F5" s="236"/>
      <c r="G5" s="237"/>
      <c r="I5" s="240"/>
      <c r="J5" s="241"/>
      <c r="L5" s="214"/>
      <c r="M5" s="215"/>
      <c r="O5" s="218"/>
      <c r="P5" s="219"/>
    </row>
    <row r="6" spans="2:16" ht="15" customHeight="1" x14ac:dyDescent="0.3">
      <c r="B6" s="85"/>
      <c r="C6" s="82">
        <v>0.2</v>
      </c>
      <c r="D6" s="90"/>
      <c r="E6" s="91"/>
      <c r="F6" s="234"/>
      <c r="G6" s="235"/>
      <c r="I6" s="240"/>
      <c r="J6" s="241"/>
      <c r="L6" s="214"/>
      <c r="M6" s="215"/>
      <c r="O6" s="218"/>
      <c r="P6" s="219"/>
    </row>
    <row r="7" spans="2:16" ht="15" customHeight="1" x14ac:dyDescent="0.3">
      <c r="B7" s="84"/>
      <c r="C7" s="81">
        <v>0.25</v>
      </c>
      <c r="D7" s="88"/>
      <c r="E7" s="89"/>
      <c r="F7" s="236"/>
      <c r="G7" s="237"/>
      <c r="I7" s="240"/>
      <c r="J7" s="241"/>
      <c r="L7" s="214"/>
      <c r="M7" s="215"/>
      <c r="O7" s="218"/>
      <c r="P7" s="219"/>
    </row>
    <row r="8" spans="2:16" ht="15" customHeight="1" x14ac:dyDescent="0.3">
      <c r="B8" s="85"/>
      <c r="C8" s="82">
        <v>0.3</v>
      </c>
      <c r="D8" s="90"/>
      <c r="E8" s="91"/>
      <c r="F8" s="234"/>
      <c r="G8" s="235"/>
      <c r="I8" s="240"/>
      <c r="J8" s="241"/>
      <c r="L8" s="214"/>
      <c r="M8" s="215"/>
      <c r="O8" s="218"/>
      <c r="P8" s="219"/>
    </row>
    <row r="9" spans="2:16" ht="15" customHeight="1" thickBot="1" x14ac:dyDescent="0.35">
      <c r="B9" s="84"/>
      <c r="C9" s="81">
        <v>0.35</v>
      </c>
      <c r="D9" s="88"/>
      <c r="E9" s="89"/>
      <c r="F9" s="236"/>
      <c r="G9" s="237"/>
      <c r="I9" s="242"/>
      <c r="J9" s="243"/>
      <c r="L9" s="216"/>
      <c r="M9" s="217"/>
      <c r="O9" s="220"/>
      <c r="P9" s="221"/>
    </row>
    <row r="10" spans="2:16" ht="15" customHeight="1" thickBot="1" x14ac:dyDescent="0.35">
      <c r="B10" s="85"/>
      <c r="C10" s="82">
        <v>0.4</v>
      </c>
      <c r="D10" s="90"/>
      <c r="E10" s="91"/>
      <c r="F10" s="234"/>
      <c r="G10" s="235"/>
    </row>
    <row r="11" spans="2:16" ht="15" customHeight="1" x14ac:dyDescent="0.3">
      <c r="B11" s="84"/>
      <c r="C11" s="81">
        <v>0.45</v>
      </c>
      <c r="D11" s="88"/>
      <c r="E11" s="89"/>
      <c r="F11" s="236"/>
      <c r="G11" s="237"/>
      <c r="L11" s="210" t="s">
        <v>204</v>
      </c>
      <c r="M11" s="211"/>
    </row>
    <row r="12" spans="2:16" ht="15" customHeight="1" thickBot="1" x14ac:dyDescent="0.35">
      <c r="B12" s="85"/>
      <c r="C12" s="82">
        <v>0.5</v>
      </c>
      <c r="D12" s="90"/>
      <c r="E12" s="91"/>
      <c r="F12" s="234"/>
      <c r="G12" s="235"/>
      <c r="L12" s="212"/>
      <c r="M12" s="213"/>
    </row>
    <row r="13" spans="2:16" ht="15" customHeight="1" x14ac:dyDescent="0.3">
      <c r="B13" s="84"/>
      <c r="C13" s="81">
        <v>0.55000000000000004</v>
      </c>
      <c r="D13" s="88"/>
      <c r="E13" s="89"/>
      <c r="F13" s="236"/>
      <c r="G13" s="237"/>
      <c r="I13" s="210" t="s">
        <v>210</v>
      </c>
      <c r="J13" s="211"/>
      <c r="L13" s="222">
        <v>0</v>
      </c>
      <c r="M13" s="223"/>
      <c r="O13" s="210" t="s">
        <v>208</v>
      </c>
      <c r="P13" s="211"/>
    </row>
    <row r="14" spans="2:16" ht="15" customHeight="1" x14ac:dyDescent="0.3">
      <c r="B14" s="85"/>
      <c r="C14" s="82">
        <v>0.6</v>
      </c>
      <c r="D14" s="90"/>
      <c r="E14" s="91"/>
      <c r="F14" s="234"/>
      <c r="G14" s="235"/>
      <c r="I14" s="212"/>
      <c r="J14" s="213"/>
      <c r="L14" s="222"/>
      <c r="M14" s="223"/>
      <c r="O14" s="212"/>
      <c r="P14" s="213"/>
    </row>
    <row r="15" spans="2:16" ht="15" customHeight="1" x14ac:dyDescent="0.3">
      <c r="B15" s="84"/>
      <c r="C15" s="81">
        <v>0.65</v>
      </c>
      <c r="D15" s="88"/>
      <c r="E15" s="89"/>
      <c r="F15" s="236"/>
      <c r="G15" s="237"/>
      <c r="I15" s="226">
        <v>0</v>
      </c>
      <c r="J15" s="227"/>
      <c r="L15" s="222"/>
      <c r="M15" s="223"/>
      <c r="O15" s="230">
        <v>0</v>
      </c>
      <c r="P15" s="231"/>
    </row>
    <row r="16" spans="2:16" ht="15" customHeight="1" x14ac:dyDescent="0.3">
      <c r="B16" s="85"/>
      <c r="C16" s="82">
        <v>0.7</v>
      </c>
      <c r="D16" s="90"/>
      <c r="E16" s="91"/>
      <c r="F16" s="234"/>
      <c r="G16" s="235"/>
      <c r="I16" s="226"/>
      <c r="J16" s="227"/>
      <c r="L16" s="222"/>
      <c r="M16" s="223"/>
      <c r="O16" s="230"/>
      <c r="P16" s="231"/>
    </row>
    <row r="17" spans="2:16" ht="15" customHeight="1" x14ac:dyDescent="0.3">
      <c r="B17" s="84"/>
      <c r="C17" s="81">
        <v>0.75</v>
      </c>
      <c r="D17" s="88"/>
      <c r="E17" s="89"/>
      <c r="F17" s="236"/>
      <c r="G17" s="237"/>
      <c r="I17" s="226"/>
      <c r="J17" s="227"/>
      <c r="L17" s="222"/>
      <c r="M17" s="223"/>
      <c r="O17" s="230"/>
      <c r="P17" s="231"/>
    </row>
    <row r="18" spans="2:16" ht="15" customHeight="1" thickBot="1" x14ac:dyDescent="0.35">
      <c r="B18" s="85"/>
      <c r="C18" s="82">
        <v>0.8</v>
      </c>
      <c r="D18" s="90"/>
      <c r="E18" s="91"/>
      <c r="F18" s="234"/>
      <c r="G18" s="235"/>
      <c r="I18" s="226"/>
      <c r="J18" s="227"/>
      <c r="L18" s="224"/>
      <c r="M18" s="225"/>
      <c r="O18" s="230"/>
      <c r="P18" s="231"/>
    </row>
    <row r="19" spans="2:16" ht="15" customHeight="1" thickBot="1" x14ac:dyDescent="0.35">
      <c r="B19" s="84"/>
      <c r="C19" s="81">
        <v>0.85</v>
      </c>
      <c r="D19" s="88"/>
      <c r="E19" s="89"/>
      <c r="F19" s="236"/>
      <c r="G19" s="237"/>
      <c r="I19" s="226"/>
      <c r="J19" s="227"/>
      <c r="O19" s="230"/>
      <c r="P19" s="231"/>
    </row>
    <row r="20" spans="2:16" ht="15" customHeight="1" thickBot="1" x14ac:dyDescent="0.35">
      <c r="B20" s="85"/>
      <c r="C20" s="82">
        <v>0.9</v>
      </c>
      <c r="D20" s="90"/>
      <c r="E20" s="91"/>
      <c r="F20" s="234"/>
      <c r="G20" s="235"/>
      <c r="I20" s="228"/>
      <c r="J20" s="229"/>
      <c r="L20" s="210" t="s">
        <v>209</v>
      </c>
      <c r="M20" s="211"/>
      <c r="O20" s="232"/>
      <c r="P20" s="233"/>
    </row>
    <row r="21" spans="2:16" ht="15" customHeight="1" x14ac:dyDescent="0.3">
      <c r="B21" s="84"/>
      <c r="C21" s="81">
        <v>0.95</v>
      </c>
      <c r="D21" s="88"/>
      <c r="E21" s="89"/>
      <c r="F21" s="236"/>
      <c r="G21" s="237"/>
      <c r="L21" s="212"/>
      <c r="M21" s="213"/>
    </row>
    <row r="22" spans="2:16" ht="20.25" thickBot="1" x14ac:dyDescent="0.35">
      <c r="B22" s="86"/>
      <c r="C22" s="83">
        <v>1</v>
      </c>
      <c r="D22" s="92"/>
      <c r="E22" s="93"/>
      <c r="F22" s="238"/>
      <c r="G22" s="239"/>
      <c r="L22" s="206">
        <v>0</v>
      </c>
      <c r="M22" s="207"/>
    </row>
    <row r="23" spans="2:16" x14ac:dyDescent="0.25">
      <c r="L23" s="206"/>
      <c r="M23" s="207"/>
    </row>
    <row r="24" spans="2:16" x14ac:dyDescent="0.25">
      <c r="L24" s="206"/>
      <c r="M24" s="207"/>
    </row>
    <row r="25" spans="2:16" x14ac:dyDescent="0.25">
      <c r="L25" s="206"/>
      <c r="M25" s="207"/>
    </row>
    <row r="26" spans="2:16" x14ac:dyDescent="0.25">
      <c r="L26" s="206"/>
      <c r="M26" s="207"/>
    </row>
    <row r="27" spans="2:16" ht="15.75" thickBot="1" x14ac:dyDescent="0.3">
      <c r="L27" s="208"/>
      <c r="M27" s="209"/>
    </row>
  </sheetData>
  <mergeCells count="35">
    <mergeCell ref="F2:G2"/>
    <mergeCell ref="F3:G3"/>
    <mergeCell ref="F4:G4"/>
    <mergeCell ref="F5:G5"/>
    <mergeCell ref="F6:G6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7:G7"/>
    <mergeCell ref="I13:J14"/>
    <mergeCell ref="I15:J20"/>
    <mergeCell ref="O13:P14"/>
    <mergeCell ref="O15:P20"/>
    <mergeCell ref="F20:G20"/>
    <mergeCell ref="L20:M21"/>
    <mergeCell ref="F21:G21"/>
    <mergeCell ref="L22:M27"/>
    <mergeCell ref="L2:M3"/>
    <mergeCell ref="L4:M9"/>
    <mergeCell ref="O2:P3"/>
    <mergeCell ref="O4:P9"/>
    <mergeCell ref="L11:M12"/>
    <mergeCell ref="L13:M18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5" x14ac:dyDescent="0.25"/>
  <sheetData>
    <row r="1" spans="1:7" x14ac:dyDescent="0.25">
      <c r="A1" t="s">
        <v>159</v>
      </c>
      <c r="B1" t="s">
        <v>47</v>
      </c>
    </row>
    <row r="2" spans="1:7" x14ac:dyDescent="0.25">
      <c r="A2" t="s">
        <v>160</v>
      </c>
      <c r="B2" t="s">
        <v>173</v>
      </c>
      <c r="E2" t="s">
        <v>12</v>
      </c>
      <c r="G2" t="s">
        <v>184</v>
      </c>
    </row>
    <row r="3" spans="1:7" x14ac:dyDescent="0.25">
      <c r="E3" t="s">
        <v>192</v>
      </c>
      <c r="G3" t="s">
        <v>185</v>
      </c>
    </row>
    <row r="4" spans="1:7" x14ac:dyDescent="0.25">
      <c r="E4" t="s">
        <v>193</v>
      </c>
      <c r="G4" t="s">
        <v>186</v>
      </c>
    </row>
    <row r="5" spans="1:7" x14ac:dyDescent="0.25">
      <c r="G5" t="s">
        <v>182</v>
      </c>
    </row>
    <row r="6" spans="1:7" x14ac:dyDescent="0.25">
      <c r="G6" t="s">
        <v>187</v>
      </c>
    </row>
    <row r="7" spans="1:7" x14ac:dyDescent="0.25">
      <c r="G7" t="s">
        <v>188</v>
      </c>
    </row>
    <row r="8" spans="1:7" x14ac:dyDescent="0.25">
      <c r="G8" t="s">
        <v>189</v>
      </c>
    </row>
    <row r="9" spans="1:7" x14ac:dyDescent="0.25">
      <c r="G9" t="s">
        <v>190</v>
      </c>
    </row>
    <row r="10" spans="1:7" x14ac:dyDescent="0.25">
      <c r="G10" t="s">
        <v>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5" x14ac:dyDescent="0.25"/>
  <cols>
    <col min="1" max="1" width="10" bestFit="1" customWidth="1"/>
    <col min="2" max="2" width="14.5703125" bestFit="1" customWidth="1"/>
    <col min="3" max="3" width="12.42578125" bestFit="1" customWidth="1"/>
  </cols>
  <sheetData>
    <row r="1" spans="1:3" x14ac:dyDescent="0.25">
      <c r="A1" s="26" t="s">
        <v>131</v>
      </c>
      <c r="B1" s="26" t="s">
        <v>132</v>
      </c>
      <c r="C1" s="26" t="s">
        <v>99</v>
      </c>
    </row>
    <row r="2" spans="1:3" x14ac:dyDescent="0.25">
      <c r="A2" s="26" t="s">
        <v>137</v>
      </c>
      <c r="B2" s="26">
        <v>200</v>
      </c>
      <c r="C2" s="26">
        <v>120</v>
      </c>
    </row>
    <row r="3" spans="1:3" x14ac:dyDescent="0.25">
      <c r="A3" s="26" t="s">
        <v>136</v>
      </c>
      <c r="B3" s="26">
        <v>100</v>
      </c>
      <c r="C3" s="26">
        <v>80</v>
      </c>
    </row>
    <row r="4" spans="1:3" x14ac:dyDescent="0.25">
      <c r="A4" s="26" t="s">
        <v>135</v>
      </c>
      <c r="B4" s="26">
        <v>50</v>
      </c>
      <c r="C4" s="26">
        <v>60</v>
      </c>
    </row>
    <row r="5" spans="1:3" x14ac:dyDescent="0.25">
      <c r="A5" s="26" t="s">
        <v>134</v>
      </c>
      <c r="B5" s="26">
        <v>20</v>
      </c>
      <c r="C5" s="26">
        <v>40</v>
      </c>
    </row>
    <row r="6" spans="1:3" x14ac:dyDescent="0.25">
      <c r="A6" s="26" t="s">
        <v>133</v>
      </c>
      <c r="B6" s="26">
        <v>0</v>
      </c>
      <c r="C6" s="26">
        <v>20</v>
      </c>
    </row>
    <row r="7" spans="1:3" x14ac:dyDescent="0.25">
      <c r="A7" s="26" t="s">
        <v>138</v>
      </c>
      <c r="B7" s="26">
        <v>500</v>
      </c>
      <c r="C7" s="26">
        <v>200</v>
      </c>
    </row>
    <row r="8" spans="1:3" x14ac:dyDescent="0.25">
      <c r="A8" s="26" t="s">
        <v>139</v>
      </c>
      <c r="B8" s="26">
        <v>1000</v>
      </c>
      <c r="C8" s="26" t="s">
        <v>140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workbookViewId="0">
      <selection activeCell="G7" sqref="G7"/>
    </sheetView>
  </sheetViews>
  <sheetFormatPr defaultRowHeight="15" x14ac:dyDescent="0.25"/>
  <cols>
    <col min="1" max="1" width="20.7109375" customWidth="1"/>
    <col min="2" max="2" width="59.85546875" customWidth="1"/>
  </cols>
  <sheetData>
    <row r="1" spans="1:2" x14ac:dyDescent="0.25">
      <c r="A1" s="26" t="s">
        <v>93</v>
      </c>
      <c r="B1" s="26" t="s">
        <v>9</v>
      </c>
    </row>
    <row r="2" spans="1:2" ht="60" x14ac:dyDescent="0.25">
      <c r="A2" s="26" t="s">
        <v>103</v>
      </c>
      <c r="B2" s="36" t="s">
        <v>104</v>
      </c>
    </row>
    <row r="3" spans="1:2" ht="30" x14ac:dyDescent="0.25">
      <c r="A3" s="26" t="s">
        <v>105</v>
      </c>
      <c r="B3" s="36" t="s">
        <v>106</v>
      </c>
    </row>
    <row r="4" spans="1:2" ht="30" x14ac:dyDescent="0.25">
      <c r="A4" s="26" t="s">
        <v>107</v>
      </c>
      <c r="B4" s="36" t="s">
        <v>108</v>
      </c>
    </row>
    <row r="5" spans="1:2" ht="30" x14ac:dyDescent="0.25">
      <c r="A5" s="26" t="s">
        <v>109</v>
      </c>
      <c r="B5" s="36" t="s">
        <v>110</v>
      </c>
    </row>
    <row r="6" spans="1:2" ht="75" x14ac:dyDescent="0.25">
      <c r="A6" s="26" t="s">
        <v>111</v>
      </c>
      <c r="B6" s="36" t="s">
        <v>112</v>
      </c>
    </row>
    <row r="7" spans="1:2" ht="60" x14ac:dyDescent="0.25">
      <c r="A7" s="26" t="s">
        <v>113</v>
      </c>
      <c r="B7" s="36" t="s">
        <v>114</v>
      </c>
    </row>
    <row r="8" spans="1:2" ht="45" x14ac:dyDescent="0.25">
      <c r="A8" s="26" t="s">
        <v>115</v>
      </c>
      <c r="B8" s="36" t="s">
        <v>116</v>
      </c>
    </row>
    <row r="9" spans="1:2" ht="30" x14ac:dyDescent="0.25">
      <c r="A9" s="26" t="s">
        <v>117</v>
      </c>
      <c r="B9" s="36" t="s">
        <v>118</v>
      </c>
    </row>
    <row r="10" spans="1:2" ht="45" x14ac:dyDescent="0.25">
      <c r="A10" s="26" t="s">
        <v>107</v>
      </c>
      <c r="B10" s="36" t="s">
        <v>119</v>
      </c>
    </row>
    <row r="11" spans="1:2" ht="45" x14ac:dyDescent="0.25">
      <c r="A11" s="26" t="s">
        <v>120</v>
      </c>
      <c r="B11" s="36" t="s">
        <v>121</v>
      </c>
    </row>
    <row r="12" spans="1:2" ht="45" x14ac:dyDescent="0.25">
      <c r="A12" s="26" t="s">
        <v>122</v>
      </c>
      <c r="B12" s="36" t="s">
        <v>123</v>
      </c>
    </row>
    <row r="13" spans="1:2" ht="60" x14ac:dyDescent="0.25">
      <c r="A13" s="26" t="s">
        <v>124</v>
      </c>
      <c r="B13" s="36" t="s">
        <v>125</v>
      </c>
    </row>
    <row r="14" spans="1:2" ht="60" x14ac:dyDescent="0.25">
      <c r="A14" s="26" t="s">
        <v>126</v>
      </c>
      <c r="B14" s="36" t="s">
        <v>127</v>
      </c>
    </row>
    <row r="15" spans="1:2" ht="45" x14ac:dyDescent="0.25">
      <c r="A15" s="26" t="s">
        <v>128</v>
      </c>
      <c r="B15" s="36" t="s">
        <v>129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70E89-3C35-4D51-B424-219BA89B2756}">
  <dimension ref="A1:I51"/>
  <sheetViews>
    <sheetView workbookViewId="0">
      <selection activeCell="D17" sqref="D17"/>
    </sheetView>
  </sheetViews>
  <sheetFormatPr defaultRowHeight="15" x14ac:dyDescent="0.25"/>
  <cols>
    <col min="1" max="1" width="8.5703125" bestFit="1" customWidth="1"/>
    <col min="2" max="2" width="8" bestFit="1" customWidth="1"/>
    <col min="3" max="3" width="13.42578125" bestFit="1" customWidth="1"/>
    <col min="4" max="4" width="10.28515625" bestFit="1" customWidth="1"/>
    <col min="5" max="5" width="9.28515625" bestFit="1" customWidth="1"/>
    <col min="6" max="6" width="10.28515625" bestFit="1" customWidth="1"/>
    <col min="7" max="7" width="10.28515625" customWidth="1"/>
    <col min="8" max="8" width="13.7109375" bestFit="1" customWidth="1"/>
    <col min="9" max="9" width="11.28515625" bestFit="1" customWidth="1"/>
  </cols>
  <sheetData>
    <row r="1" spans="1:9" x14ac:dyDescent="0.25">
      <c r="A1" t="s">
        <v>256</v>
      </c>
      <c r="B1" t="s">
        <v>51</v>
      </c>
      <c r="C1" t="s">
        <v>270</v>
      </c>
      <c r="D1" t="s">
        <v>89</v>
      </c>
      <c r="E1" t="s">
        <v>90</v>
      </c>
      <c r="F1" t="s">
        <v>12</v>
      </c>
      <c r="G1" t="s">
        <v>91</v>
      </c>
      <c r="H1" t="s">
        <v>92</v>
      </c>
      <c r="I1" t="s">
        <v>93</v>
      </c>
    </row>
    <row r="2" spans="1:9" ht="30" x14ac:dyDescent="0.25">
      <c r="A2" s="98" t="s">
        <v>257</v>
      </c>
      <c r="B2" s="98" t="s">
        <v>258</v>
      </c>
      <c r="C2" s="98" t="s">
        <v>259</v>
      </c>
      <c r="D2" s="98" t="s">
        <v>260</v>
      </c>
      <c r="E2" s="98" t="s">
        <v>258</v>
      </c>
      <c r="F2" s="98" t="s">
        <v>261</v>
      </c>
      <c r="G2" s="98"/>
      <c r="H2" s="98" t="s">
        <v>258</v>
      </c>
      <c r="I2" s="98" t="s">
        <v>258</v>
      </c>
    </row>
    <row r="3" spans="1:9" ht="30" x14ac:dyDescent="0.25">
      <c r="A3" s="98" t="s">
        <v>262</v>
      </c>
      <c r="B3" s="98" t="s">
        <v>258</v>
      </c>
      <c r="C3" s="98" t="s">
        <v>263</v>
      </c>
      <c r="D3" s="98" t="s">
        <v>260</v>
      </c>
      <c r="E3" s="98" t="s">
        <v>258</v>
      </c>
      <c r="F3" s="98" t="s">
        <v>261</v>
      </c>
      <c r="G3" s="98"/>
      <c r="H3" s="98" t="s">
        <v>258</v>
      </c>
      <c r="I3" s="98" t="s">
        <v>258</v>
      </c>
    </row>
    <row r="4" spans="1:9" x14ac:dyDescent="0.25">
      <c r="A4" s="98" t="s">
        <v>264</v>
      </c>
      <c r="B4" s="98">
        <v>2</v>
      </c>
      <c r="C4" s="98" t="s">
        <v>263</v>
      </c>
      <c r="D4" s="98" t="s">
        <v>265</v>
      </c>
      <c r="E4" s="98" t="s">
        <v>258</v>
      </c>
      <c r="F4" s="98" t="s">
        <v>135</v>
      </c>
      <c r="G4" s="98"/>
      <c r="H4" s="98">
        <v>1</v>
      </c>
      <c r="I4" s="98" t="s">
        <v>107</v>
      </c>
    </row>
    <row r="5" spans="1:9" x14ac:dyDescent="0.25">
      <c r="A5" s="98" t="s">
        <v>266</v>
      </c>
      <c r="B5" s="98">
        <v>2</v>
      </c>
      <c r="C5" s="98" t="s">
        <v>267</v>
      </c>
      <c r="D5" s="98" t="s">
        <v>260</v>
      </c>
      <c r="E5" s="98" t="s">
        <v>258</v>
      </c>
      <c r="F5" s="98" t="s">
        <v>261</v>
      </c>
      <c r="G5" s="98"/>
      <c r="H5" s="98">
        <v>1</v>
      </c>
      <c r="I5" s="98" t="s">
        <v>258</v>
      </c>
    </row>
    <row r="6" spans="1:9" x14ac:dyDescent="0.25">
      <c r="A6" s="98" t="s">
        <v>268</v>
      </c>
      <c r="B6" s="98">
        <v>2</v>
      </c>
      <c r="C6" s="98" t="s">
        <v>263</v>
      </c>
      <c r="D6" s="98" t="s">
        <v>269</v>
      </c>
      <c r="E6" s="98" t="s">
        <v>258</v>
      </c>
      <c r="F6" s="98" t="s">
        <v>135</v>
      </c>
      <c r="G6" s="98"/>
      <c r="H6" s="98">
        <v>1</v>
      </c>
      <c r="I6" s="98" t="s">
        <v>111</v>
      </c>
    </row>
    <row r="7" spans="1:9" x14ac:dyDescent="0.25">
      <c r="A7" s="98" t="s">
        <v>271</v>
      </c>
      <c r="B7" s="98">
        <v>5</v>
      </c>
      <c r="C7" s="98" t="s">
        <v>267</v>
      </c>
      <c r="D7" s="98" t="s">
        <v>269</v>
      </c>
      <c r="E7" s="98" t="s">
        <v>272</v>
      </c>
      <c r="F7" s="98" t="s">
        <v>273</v>
      </c>
      <c r="G7" s="98" t="s">
        <v>274</v>
      </c>
      <c r="H7" s="98">
        <v>2</v>
      </c>
      <c r="I7" s="98" t="s">
        <v>258</v>
      </c>
    </row>
    <row r="8" spans="1:9" ht="30" x14ac:dyDescent="0.25">
      <c r="A8" s="98" t="s">
        <v>275</v>
      </c>
      <c r="B8" s="98">
        <v>5</v>
      </c>
      <c r="C8" s="98" t="s">
        <v>276</v>
      </c>
      <c r="D8" s="98" t="s">
        <v>277</v>
      </c>
      <c r="E8" s="98" t="s">
        <v>278</v>
      </c>
      <c r="F8" s="98" t="s">
        <v>273</v>
      </c>
      <c r="G8" s="98" t="s">
        <v>279</v>
      </c>
      <c r="H8" s="98">
        <v>2</v>
      </c>
      <c r="I8" s="98" t="s">
        <v>258</v>
      </c>
    </row>
    <row r="9" spans="1:9" ht="30" x14ac:dyDescent="0.25">
      <c r="A9" s="98" t="s">
        <v>280</v>
      </c>
      <c r="B9" s="98">
        <v>2</v>
      </c>
      <c r="C9" s="98" t="s">
        <v>267</v>
      </c>
      <c r="D9" s="98" t="s">
        <v>260</v>
      </c>
      <c r="E9" s="98" t="s">
        <v>278</v>
      </c>
      <c r="F9" s="98" t="s">
        <v>261</v>
      </c>
      <c r="G9" s="98" t="s">
        <v>274</v>
      </c>
      <c r="H9" s="98">
        <v>1</v>
      </c>
      <c r="I9" s="98" t="s">
        <v>258</v>
      </c>
    </row>
    <row r="10" spans="1:9" ht="30" x14ac:dyDescent="0.25">
      <c r="A10" s="98" t="s">
        <v>355</v>
      </c>
      <c r="B10" s="98">
        <v>5</v>
      </c>
      <c r="C10" s="98" t="s">
        <v>281</v>
      </c>
      <c r="D10" s="98" t="s">
        <v>282</v>
      </c>
      <c r="E10" s="98" t="s">
        <v>272</v>
      </c>
      <c r="F10" s="98" t="s">
        <v>136</v>
      </c>
      <c r="G10" s="98" t="s">
        <v>283</v>
      </c>
      <c r="H10" s="98">
        <v>1</v>
      </c>
      <c r="I10" s="98" t="s">
        <v>107</v>
      </c>
    </row>
    <row r="11" spans="1:9" ht="30" x14ac:dyDescent="0.25">
      <c r="A11" s="98" t="s">
        <v>284</v>
      </c>
      <c r="B11" s="98">
        <v>5</v>
      </c>
      <c r="C11" s="98" t="s">
        <v>285</v>
      </c>
      <c r="D11" s="98" t="s">
        <v>286</v>
      </c>
      <c r="E11" s="98" t="s">
        <v>272</v>
      </c>
      <c r="F11" s="98" t="s">
        <v>136</v>
      </c>
      <c r="G11" s="98" t="s">
        <v>287</v>
      </c>
      <c r="H11" s="98">
        <v>1</v>
      </c>
      <c r="I11" s="98" t="s">
        <v>107</v>
      </c>
    </row>
    <row r="12" spans="1:9" ht="45" x14ac:dyDescent="0.25">
      <c r="A12" s="98" t="s">
        <v>288</v>
      </c>
      <c r="B12" s="98">
        <v>5</v>
      </c>
      <c r="C12" s="98" t="s">
        <v>289</v>
      </c>
      <c r="D12" s="98" t="s">
        <v>286</v>
      </c>
      <c r="E12" s="98" t="s">
        <v>272</v>
      </c>
      <c r="F12" s="98" t="s">
        <v>136</v>
      </c>
      <c r="G12" s="98" t="s">
        <v>287</v>
      </c>
      <c r="H12" s="98">
        <v>1</v>
      </c>
      <c r="I12" s="98" t="s">
        <v>107</v>
      </c>
    </row>
    <row r="13" spans="1:9" ht="30" x14ac:dyDescent="0.25">
      <c r="A13" s="98" t="s">
        <v>290</v>
      </c>
      <c r="B13" s="98">
        <v>5</v>
      </c>
      <c r="C13" s="98" t="s">
        <v>267</v>
      </c>
      <c r="D13" s="98" t="s">
        <v>277</v>
      </c>
      <c r="E13" s="98" t="s">
        <v>272</v>
      </c>
      <c r="F13" s="98" t="s">
        <v>135</v>
      </c>
      <c r="G13" s="98" t="s">
        <v>258</v>
      </c>
      <c r="H13" s="98">
        <v>2</v>
      </c>
      <c r="I13" s="98" t="s">
        <v>258</v>
      </c>
    </row>
    <row r="14" spans="1:9" x14ac:dyDescent="0.25">
      <c r="A14" s="98" t="s">
        <v>291</v>
      </c>
      <c r="B14" s="98">
        <v>5</v>
      </c>
      <c r="C14" s="98" t="s">
        <v>267</v>
      </c>
      <c r="D14" s="98" t="s">
        <v>260</v>
      </c>
      <c r="E14" s="98" t="s">
        <v>258</v>
      </c>
      <c r="F14" s="98" t="s">
        <v>261</v>
      </c>
      <c r="G14" s="98" t="s">
        <v>258</v>
      </c>
      <c r="H14" s="98">
        <v>1</v>
      </c>
      <c r="I14" s="98" t="s">
        <v>109</v>
      </c>
    </row>
    <row r="15" spans="1:9" x14ac:dyDescent="0.25">
      <c r="A15" s="98" t="s">
        <v>292</v>
      </c>
      <c r="B15" s="98">
        <v>5</v>
      </c>
      <c r="C15" s="98" t="s">
        <v>263</v>
      </c>
      <c r="D15" s="98" t="s">
        <v>260</v>
      </c>
      <c r="E15" s="98" t="s">
        <v>272</v>
      </c>
      <c r="F15" s="98" t="s">
        <v>293</v>
      </c>
      <c r="G15" s="98" t="s">
        <v>258</v>
      </c>
      <c r="H15" s="98">
        <v>1</v>
      </c>
      <c r="I15" s="98" t="s">
        <v>107</v>
      </c>
    </row>
    <row r="16" spans="1:9" ht="30" x14ac:dyDescent="0.25">
      <c r="A16" s="98" t="s">
        <v>294</v>
      </c>
      <c r="B16" s="98">
        <v>5</v>
      </c>
      <c r="C16" s="98" t="s">
        <v>267</v>
      </c>
      <c r="D16" s="98" t="s">
        <v>282</v>
      </c>
      <c r="E16" s="98" t="s">
        <v>272</v>
      </c>
      <c r="F16" s="98" t="s">
        <v>135</v>
      </c>
      <c r="G16" s="98" t="s">
        <v>258</v>
      </c>
      <c r="H16" s="98">
        <v>1</v>
      </c>
      <c r="I16" s="98" t="s">
        <v>258</v>
      </c>
    </row>
    <row r="17" spans="1:9" ht="30" x14ac:dyDescent="0.25">
      <c r="A17" s="98" t="s">
        <v>295</v>
      </c>
      <c r="B17" s="98">
        <v>5</v>
      </c>
      <c r="C17" s="98" t="s">
        <v>267</v>
      </c>
      <c r="D17" s="98" t="s">
        <v>260</v>
      </c>
      <c r="E17" s="98" t="s">
        <v>258</v>
      </c>
      <c r="F17" s="98" t="s">
        <v>261</v>
      </c>
      <c r="G17" s="98" t="s">
        <v>258</v>
      </c>
      <c r="H17" s="98">
        <v>1</v>
      </c>
      <c r="I17" s="98" t="s">
        <v>103</v>
      </c>
    </row>
    <row r="18" spans="1:9" ht="45" x14ac:dyDescent="0.25">
      <c r="A18" s="98" t="s">
        <v>296</v>
      </c>
      <c r="B18" s="98">
        <v>5</v>
      </c>
      <c r="C18" s="98" t="s">
        <v>267</v>
      </c>
      <c r="D18" s="98" t="s">
        <v>260</v>
      </c>
      <c r="E18" s="98" t="s">
        <v>258</v>
      </c>
      <c r="F18" s="98" t="s">
        <v>113</v>
      </c>
      <c r="G18" s="98" t="s">
        <v>258</v>
      </c>
      <c r="H18" s="98">
        <v>1</v>
      </c>
      <c r="I18" s="98" t="s">
        <v>113</v>
      </c>
    </row>
    <row r="19" spans="1:9" x14ac:dyDescent="0.25">
      <c r="A19" s="98" t="s">
        <v>297</v>
      </c>
      <c r="B19" s="98">
        <v>5</v>
      </c>
      <c r="C19" s="98" t="s">
        <v>267</v>
      </c>
      <c r="D19" s="98" t="s">
        <v>260</v>
      </c>
      <c r="E19" s="98" t="s">
        <v>258</v>
      </c>
      <c r="F19" s="98" t="s">
        <v>261</v>
      </c>
      <c r="G19" s="98" t="s">
        <v>258</v>
      </c>
      <c r="H19" s="98">
        <v>1</v>
      </c>
      <c r="I19" s="98" t="s">
        <v>109</v>
      </c>
    </row>
    <row r="20" spans="1:9" x14ac:dyDescent="0.25">
      <c r="A20" s="98" t="s">
        <v>298</v>
      </c>
      <c r="B20" s="98">
        <v>5</v>
      </c>
      <c r="C20" s="98" t="s">
        <v>276</v>
      </c>
      <c r="D20" s="98" t="s">
        <v>286</v>
      </c>
      <c r="E20" s="98" t="s">
        <v>258</v>
      </c>
      <c r="F20" s="98" t="s">
        <v>135</v>
      </c>
      <c r="G20" s="98" t="s">
        <v>258</v>
      </c>
      <c r="H20" s="98">
        <v>1</v>
      </c>
      <c r="I20" s="98" t="s">
        <v>117</v>
      </c>
    </row>
    <row r="21" spans="1:9" x14ac:dyDescent="0.25">
      <c r="A21" s="98" t="s">
        <v>299</v>
      </c>
      <c r="B21" s="98">
        <v>5</v>
      </c>
      <c r="C21" s="98" t="s">
        <v>267</v>
      </c>
      <c r="D21" s="98" t="s">
        <v>286</v>
      </c>
      <c r="E21" s="98" t="s">
        <v>300</v>
      </c>
      <c r="F21" s="98" t="s">
        <v>261</v>
      </c>
      <c r="G21" s="98" t="s">
        <v>258</v>
      </c>
      <c r="H21" s="98">
        <v>1</v>
      </c>
      <c r="I21" s="98" t="s">
        <v>258</v>
      </c>
    </row>
    <row r="22" spans="1:9" ht="30" x14ac:dyDescent="0.25">
      <c r="A22" s="98" t="s">
        <v>301</v>
      </c>
      <c r="B22" s="98">
        <v>5</v>
      </c>
      <c r="C22" s="98" t="s">
        <v>276</v>
      </c>
      <c r="D22" s="98" t="s">
        <v>277</v>
      </c>
      <c r="E22" s="98" t="s">
        <v>258</v>
      </c>
      <c r="F22" s="98" t="s">
        <v>135</v>
      </c>
      <c r="G22" s="98" t="s">
        <v>258</v>
      </c>
      <c r="H22" s="98">
        <v>1</v>
      </c>
      <c r="I22" s="98" t="s">
        <v>103</v>
      </c>
    </row>
    <row r="23" spans="1:9" ht="30" x14ac:dyDescent="0.25">
      <c r="A23" s="98" t="s">
        <v>302</v>
      </c>
      <c r="B23" s="98">
        <v>5</v>
      </c>
      <c r="C23" s="98" t="s">
        <v>276</v>
      </c>
      <c r="D23" s="98" t="s">
        <v>277</v>
      </c>
      <c r="E23" s="98" t="s">
        <v>258</v>
      </c>
      <c r="F23" s="98" t="s">
        <v>135</v>
      </c>
      <c r="G23" s="98" t="s">
        <v>258</v>
      </c>
      <c r="H23" s="98">
        <v>1</v>
      </c>
      <c r="I23" s="98" t="s">
        <v>258</v>
      </c>
    </row>
    <row r="24" spans="1:9" x14ac:dyDescent="0.25">
      <c r="A24" s="98" t="s">
        <v>303</v>
      </c>
      <c r="B24" s="98">
        <v>5</v>
      </c>
      <c r="C24" s="98" t="s">
        <v>281</v>
      </c>
      <c r="D24" s="98" t="s">
        <v>277</v>
      </c>
      <c r="E24" s="98" t="s">
        <v>258</v>
      </c>
      <c r="F24" s="98" t="s">
        <v>135</v>
      </c>
      <c r="G24" s="98" t="s">
        <v>258</v>
      </c>
      <c r="H24" s="98">
        <v>1</v>
      </c>
      <c r="I24" s="98" t="s">
        <v>258</v>
      </c>
    </row>
    <row r="25" spans="1:9" x14ac:dyDescent="0.25">
      <c r="A25" s="98" t="s">
        <v>304</v>
      </c>
      <c r="B25" s="98">
        <v>5</v>
      </c>
      <c r="C25" s="98" t="s">
        <v>289</v>
      </c>
      <c r="D25" s="98" t="s">
        <v>305</v>
      </c>
      <c r="E25" s="98" t="s">
        <v>258</v>
      </c>
      <c r="F25" s="98" t="s">
        <v>135</v>
      </c>
      <c r="G25" s="98" t="s">
        <v>258</v>
      </c>
      <c r="H25" s="98">
        <v>2</v>
      </c>
      <c r="I25" s="98" t="s">
        <v>109</v>
      </c>
    </row>
    <row r="26" spans="1:9" ht="30" x14ac:dyDescent="0.25">
      <c r="A26" s="98" t="s">
        <v>306</v>
      </c>
      <c r="B26" s="98">
        <v>5</v>
      </c>
      <c r="C26" s="98" t="s">
        <v>307</v>
      </c>
      <c r="D26" s="98" t="s">
        <v>260</v>
      </c>
      <c r="E26" s="98" t="s">
        <v>258</v>
      </c>
      <c r="F26" s="98" t="s">
        <v>135</v>
      </c>
      <c r="G26" s="98" t="s">
        <v>258</v>
      </c>
      <c r="H26" s="98">
        <v>2</v>
      </c>
      <c r="I26" s="98" t="s">
        <v>258</v>
      </c>
    </row>
    <row r="27" spans="1:9" ht="30" x14ac:dyDescent="0.25">
      <c r="A27" s="98" t="s">
        <v>308</v>
      </c>
      <c r="B27" s="98">
        <v>5</v>
      </c>
      <c r="C27" s="98" t="s">
        <v>309</v>
      </c>
      <c r="D27" s="98" t="s">
        <v>286</v>
      </c>
      <c r="E27" s="98" t="s">
        <v>258</v>
      </c>
      <c r="F27" s="98" t="s">
        <v>135</v>
      </c>
      <c r="G27" s="98" t="s">
        <v>258</v>
      </c>
      <c r="H27" s="98">
        <v>2</v>
      </c>
      <c r="I27" s="98" t="s">
        <v>103</v>
      </c>
    </row>
    <row r="28" spans="1:9" ht="30" x14ac:dyDescent="0.25">
      <c r="A28" s="98" t="s">
        <v>310</v>
      </c>
      <c r="B28" s="98">
        <v>5</v>
      </c>
      <c r="C28" s="98" t="s">
        <v>309</v>
      </c>
      <c r="D28" s="98" t="s">
        <v>286</v>
      </c>
      <c r="E28" s="98" t="s">
        <v>258</v>
      </c>
      <c r="F28" s="98" t="s">
        <v>135</v>
      </c>
      <c r="G28" s="98" t="s">
        <v>258</v>
      </c>
      <c r="H28" s="98">
        <v>2</v>
      </c>
      <c r="I28" s="98" t="s">
        <v>120</v>
      </c>
    </row>
    <row r="29" spans="1:9" ht="30" x14ac:dyDescent="0.25">
      <c r="A29" s="98" t="s">
        <v>311</v>
      </c>
      <c r="B29" s="98">
        <v>5</v>
      </c>
      <c r="C29" s="98" t="s">
        <v>312</v>
      </c>
      <c r="D29" s="98" t="s">
        <v>305</v>
      </c>
      <c r="E29" s="98" t="s">
        <v>258</v>
      </c>
      <c r="F29" s="98" t="s">
        <v>135</v>
      </c>
      <c r="G29" s="98" t="s">
        <v>258</v>
      </c>
      <c r="H29" s="98">
        <v>2</v>
      </c>
      <c r="I29" s="98" t="s">
        <v>258</v>
      </c>
    </row>
    <row r="30" spans="1:9" ht="30" x14ac:dyDescent="0.25">
      <c r="A30" s="98" t="s">
        <v>313</v>
      </c>
      <c r="B30" s="98">
        <v>10</v>
      </c>
      <c r="C30" s="98" t="s">
        <v>267</v>
      </c>
      <c r="D30" s="98" t="s">
        <v>260</v>
      </c>
      <c r="E30" s="98" t="s">
        <v>278</v>
      </c>
      <c r="F30" s="98" t="s">
        <v>261</v>
      </c>
      <c r="G30" s="98" t="s">
        <v>258</v>
      </c>
      <c r="H30" s="98">
        <v>1</v>
      </c>
      <c r="I30" s="98" t="s">
        <v>258</v>
      </c>
    </row>
    <row r="31" spans="1:9" ht="30" x14ac:dyDescent="0.25">
      <c r="A31" s="98" t="s">
        <v>314</v>
      </c>
      <c r="B31" s="98">
        <v>10</v>
      </c>
      <c r="C31" s="98" t="s">
        <v>263</v>
      </c>
      <c r="D31" s="98" t="s">
        <v>260</v>
      </c>
      <c r="E31" s="98" t="s">
        <v>272</v>
      </c>
      <c r="F31" s="98" t="s">
        <v>261</v>
      </c>
      <c r="G31" s="98" t="s">
        <v>258</v>
      </c>
      <c r="H31" s="98">
        <v>1</v>
      </c>
      <c r="I31" s="98" t="s">
        <v>258</v>
      </c>
    </row>
    <row r="32" spans="1:9" ht="45" x14ac:dyDescent="0.25">
      <c r="A32" s="98" t="s">
        <v>315</v>
      </c>
      <c r="B32" s="98">
        <v>10</v>
      </c>
      <c r="C32" s="98" t="s">
        <v>267</v>
      </c>
      <c r="D32" s="98" t="s">
        <v>260</v>
      </c>
      <c r="E32" s="98" t="s">
        <v>278</v>
      </c>
      <c r="F32" s="98" t="s">
        <v>273</v>
      </c>
      <c r="G32" s="98" t="s">
        <v>274</v>
      </c>
      <c r="H32" s="98">
        <v>2</v>
      </c>
      <c r="I32" s="98" t="s">
        <v>258</v>
      </c>
    </row>
    <row r="33" spans="1:9" ht="30" x14ac:dyDescent="0.25">
      <c r="A33" s="98" t="s">
        <v>316</v>
      </c>
      <c r="B33" s="98">
        <v>10</v>
      </c>
      <c r="C33" s="98" t="s">
        <v>281</v>
      </c>
      <c r="D33" s="98" t="s">
        <v>277</v>
      </c>
      <c r="E33" s="98" t="s">
        <v>278</v>
      </c>
      <c r="F33" s="98" t="s">
        <v>273</v>
      </c>
      <c r="G33" s="98" t="s">
        <v>279</v>
      </c>
      <c r="H33" s="98">
        <v>2</v>
      </c>
      <c r="I33" s="98" t="s">
        <v>258</v>
      </c>
    </row>
    <row r="34" spans="1:9" ht="45" x14ac:dyDescent="0.25">
      <c r="A34" s="98" t="s">
        <v>317</v>
      </c>
      <c r="B34" s="98">
        <v>10</v>
      </c>
      <c r="C34" s="98" t="s">
        <v>318</v>
      </c>
      <c r="D34" s="98" t="s">
        <v>286</v>
      </c>
      <c r="E34" s="98" t="s">
        <v>272</v>
      </c>
      <c r="F34" s="98" t="s">
        <v>136</v>
      </c>
      <c r="G34" s="98" t="s">
        <v>283</v>
      </c>
      <c r="H34" s="98">
        <v>1</v>
      </c>
      <c r="I34" s="98" t="s">
        <v>258</v>
      </c>
    </row>
    <row r="35" spans="1:9" ht="30" x14ac:dyDescent="0.25">
      <c r="A35" s="98" t="s">
        <v>319</v>
      </c>
      <c r="B35" s="98">
        <v>20</v>
      </c>
      <c r="C35" s="98" t="s">
        <v>320</v>
      </c>
      <c r="D35" s="98" t="s">
        <v>286</v>
      </c>
      <c r="E35" s="98" t="s">
        <v>278</v>
      </c>
      <c r="F35" s="98" t="s">
        <v>136</v>
      </c>
      <c r="G35" s="98" t="s">
        <v>321</v>
      </c>
      <c r="H35" s="98">
        <v>2</v>
      </c>
      <c r="I35" s="98" t="s">
        <v>258</v>
      </c>
    </row>
    <row r="36" spans="1:9" ht="30" x14ac:dyDescent="0.25">
      <c r="A36" s="98" t="s">
        <v>322</v>
      </c>
      <c r="B36" s="98">
        <v>10</v>
      </c>
      <c r="C36" s="98" t="s">
        <v>323</v>
      </c>
      <c r="D36" s="98" t="s">
        <v>269</v>
      </c>
      <c r="E36" s="98" t="s">
        <v>272</v>
      </c>
      <c r="F36" s="98" t="s">
        <v>136</v>
      </c>
      <c r="G36" s="98" t="s">
        <v>283</v>
      </c>
      <c r="H36" s="98">
        <v>2</v>
      </c>
      <c r="I36" s="98" t="s">
        <v>124</v>
      </c>
    </row>
    <row r="37" spans="1:9" ht="45" x14ac:dyDescent="0.25">
      <c r="A37" s="98" t="s">
        <v>324</v>
      </c>
      <c r="B37" s="98">
        <v>20</v>
      </c>
      <c r="C37" s="98" t="s">
        <v>312</v>
      </c>
      <c r="D37" s="98" t="s">
        <v>286</v>
      </c>
      <c r="E37" s="98" t="s">
        <v>272</v>
      </c>
      <c r="F37" s="98" t="s">
        <v>136</v>
      </c>
      <c r="G37" s="98" t="s">
        <v>283</v>
      </c>
      <c r="H37" s="98">
        <v>2</v>
      </c>
      <c r="I37" s="98" t="s">
        <v>124</v>
      </c>
    </row>
    <row r="38" spans="1:9" ht="30" x14ac:dyDescent="0.25">
      <c r="A38" s="98" t="s">
        <v>325</v>
      </c>
      <c r="B38" s="98">
        <v>10</v>
      </c>
      <c r="C38" s="98" t="s">
        <v>326</v>
      </c>
      <c r="D38" s="98" t="s">
        <v>327</v>
      </c>
      <c r="E38" s="98" t="s">
        <v>327</v>
      </c>
      <c r="F38" s="98" t="s">
        <v>136</v>
      </c>
      <c r="G38" s="98" t="s">
        <v>287</v>
      </c>
      <c r="H38" s="98">
        <v>2</v>
      </c>
      <c r="I38" s="98" t="s">
        <v>258</v>
      </c>
    </row>
    <row r="39" spans="1:9" ht="30" x14ac:dyDescent="0.25">
      <c r="A39" s="98" t="s">
        <v>322</v>
      </c>
      <c r="B39" s="98">
        <v>10</v>
      </c>
      <c r="C39" s="98" t="s">
        <v>328</v>
      </c>
      <c r="D39" s="98" t="s">
        <v>327</v>
      </c>
      <c r="E39" s="98" t="s">
        <v>327</v>
      </c>
      <c r="F39" s="98" t="s">
        <v>136</v>
      </c>
      <c r="G39" s="98" t="s">
        <v>287</v>
      </c>
      <c r="H39" s="98">
        <v>2</v>
      </c>
      <c r="I39" s="98" t="s">
        <v>105</v>
      </c>
    </row>
    <row r="40" spans="1:9" ht="30" x14ac:dyDescent="0.25">
      <c r="A40" s="98" t="s">
        <v>329</v>
      </c>
      <c r="B40" s="98">
        <v>20</v>
      </c>
      <c r="C40" s="98" t="s">
        <v>320</v>
      </c>
      <c r="D40" s="98" t="s">
        <v>286</v>
      </c>
      <c r="E40" s="98" t="s">
        <v>278</v>
      </c>
      <c r="F40" s="98" t="s">
        <v>136</v>
      </c>
      <c r="G40" s="98" t="s">
        <v>283</v>
      </c>
      <c r="H40" s="98">
        <v>2</v>
      </c>
      <c r="I40" s="98" t="s">
        <v>124</v>
      </c>
    </row>
    <row r="41" spans="1:9" ht="30" x14ac:dyDescent="0.25">
      <c r="A41" s="98" t="s">
        <v>330</v>
      </c>
      <c r="B41" s="98">
        <v>20</v>
      </c>
      <c r="C41" s="98" t="s">
        <v>320</v>
      </c>
      <c r="D41" s="98" t="s">
        <v>286</v>
      </c>
      <c r="E41" s="98" t="s">
        <v>278</v>
      </c>
      <c r="F41" s="98" t="s">
        <v>136</v>
      </c>
      <c r="G41" s="98" t="s">
        <v>283</v>
      </c>
      <c r="H41" s="98">
        <v>2</v>
      </c>
      <c r="I41" s="98" t="s">
        <v>124</v>
      </c>
    </row>
    <row r="42" spans="1:9" ht="45" x14ac:dyDescent="0.25">
      <c r="A42" s="98" t="s">
        <v>331</v>
      </c>
      <c r="B42" s="98">
        <v>5</v>
      </c>
      <c r="C42" s="98" t="s">
        <v>332</v>
      </c>
      <c r="D42" s="98" t="s">
        <v>333</v>
      </c>
      <c r="E42" s="98" t="s">
        <v>258</v>
      </c>
      <c r="F42" s="98" t="s">
        <v>135</v>
      </c>
      <c r="G42" s="98" t="s">
        <v>258</v>
      </c>
      <c r="H42" s="98">
        <v>1</v>
      </c>
      <c r="I42" s="98" t="s">
        <v>334</v>
      </c>
    </row>
    <row r="43" spans="1:9" ht="30" x14ac:dyDescent="0.25">
      <c r="A43" s="98" t="s">
        <v>335</v>
      </c>
      <c r="B43" s="98">
        <v>5</v>
      </c>
      <c r="C43" s="98" t="s">
        <v>267</v>
      </c>
      <c r="D43" s="98" t="s">
        <v>260</v>
      </c>
      <c r="E43" s="98" t="s">
        <v>258</v>
      </c>
      <c r="F43" s="98" t="s">
        <v>336</v>
      </c>
      <c r="G43" s="98" t="s">
        <v>258</v>
      </c>
      <c r="H43" s="98">
        <v>1</v>
      </c>
      <c r="I43" s="98" t="s">
        <v>258</v>
      </c>
    </row>
    <row r="44" spans="1:9" ht="45" x14ac:dyDescent="0.25">
      <c r="A44" s="98" t="s">
        <v>337</v>
      </c>
      <c r="B44" s="98">
        <v>5</v>
      </c>
      <c r="C44" s="98" t="s">
        <v>276</v>
      </c>
      <c r="D44" s="98" t="s">
        <v>277</v>
      </c>
      <c r="E44" s="98" t="s">
        <v>258</v>
      </c>
      <c r="F44" s="98" t="s">
        <v>135</v>
      </c>
      <c r="G44" s="98" t="s">
        <v>258</v>
      </c>
      <c r="H44" s="98">
        <v>1</v>
      </c>
      <c r="I44" s="98" t="s">
        <v>111</v>
      </c>
    </row>
    <row r="45" spans="1:9" ht="30" x14ac:dyDescent="0.25">
      <c r="A45" s="98" t="s">
        <v>338</v>
      </c>
      <c r="B45" s="98">
        <v>5</v>
      </c>
      <c r="C45" s="98" t="s">
        <v>281</v>
      </c>
      <c r="D45" s="98" t="s">
        <v>277</v>
      </c>
      <c r="E45" s="98" t="s">
        <v>258</v>
      </c>
      <c r="F45" s="98" t="s">
        <v>339</v>
      </c>
      <c r="G45" s="98" t="s">
        <v>340</v>
      </c>
      <c r="H45" s="98">
        <v>2</v>
      </c>
      <c r="I45" s="98" t="s">
        <v>109</v>
      </c>
    </row>
    <row r="46" spans="1:9" ht="30" x14ac:dyDescent="0.25">
      <c r="A46" s="98" t="s">
        <v>341</v>
      </c>
      <c r="B46" s="98">
        <v>5</v>
      </c>
      <c r="C46" s="98" t="s">
        <v>281</v>
      </c>
      <c r="D46" s="98" t="s">
        <v>277</v>
      </c>
      <c r="E46" s="98" t="s">
        <v>258</v>
      </c>
      <c r="F46" s="98" t="s">
        <v>342</v>
      </c>
      <c r="G46" s="98" t="s">
        <v>258</v>
      </c>
      <c r="H46" s="98">
        <v>2</v>
      </c>
      <c r="I46" s="98" t="s">
        <v>258</v>
      </c>
    </row>
    <row r="47" spans="1:9" ht="60" x14ac:dyDescent="0.25">
      <c r="A47" s="98" t="s">
        <v>343</v>
      </c>
      <c r="B47" s="98">
        <v>10</v>
      </c>
      <c r="C47" s="98" t="s">
        <v>276</v>
      </c>
      <c r="D47" s="98" t="s">
        <v>269</v>
      </c>
      <c r="E47" s="98" t="s">
        <v>258</v>
      </c>
      <c r="F47" s="98" t="s">
        <v>135</v>
      </c>
      <c r="G47" s="98" t="s">
        <v>258</v>
      </c>
      <c r="H47" s="98">
        <v>2</v>
      </c>
      <c r="I47" s="98" t="s">
        <v>120</v>
      </c>
    </row>
    <row r="48" spans="1:9" ht="30" x14ac:dyDescent="0.25">
      <c r="A48" s="98" t="s">
        <v>344</v>
      </c>
      <c r="B48" s="98">
        <v>30</v>
      </c>
      <c r="C48" s="98" t="s">
        <v>345</v>
      </c>
      <c r="D48" s="98" t="s">
        <v>260</v>
      </c>
      <c r="E48" s="98" t="s">
        <v>272</v>
      </c>
      <c r="F48" s="98" t="s">
        <v>168</v>
      </c>
      <c r="G48" s="98" t="s">
        <v>346</v>
      </c>
      <c r="H48" s="98">
        <v>2</v>
      </c>
      <c r="I48" s="98" t="s">
        <v>258</v>
      </c>
    </row>
    <row r="49" spans="1:9" ht="30" x14ac:dyDescent="0.25">
      <c r="A49" s="98" t="s">
        <v>347</v>
      </c>
      <c r="B49" s="98">
        <v>100</v>
      </c>
      <c r="C49" s="98" t="s">
        <v>348</v>
      </c>
      <c r="D49" s="98" t="s">
        <v>277</v>
      </c>
      <c r="E49" s="98" t="s">
        <v>349</v>
      </c>
      <c r="F49" s="98" t="s">
        <v>261</v>
      </c>
      <c r="G49" s="98" t="s">
        <v>350</v>
      </c>
      <c r="H49" s="98">
        <v>2</v>
      </c>
      <c r="I49" s="98" t="s">
        <v>258</v>
      </c>
    </row>
    <row r="50" spans="1:9" x14ac:dyDescent="0.25">
      <c r="A50" s="98" t="s">
        <v>351</v>
      </c>
      <c r="B50" s="98">
        <v>20</v>
      </c>
      <c r="C50" s="98" t="s">
        <v>258</v>
      </c>
      <c r="D50" s="98" t="s">
        <v>258</v>
      </c>
      <c r="E50" s="98" t="s">
        <v>258</v>
      </c>
      <c r="F50" s="98" t="s">
        <v>258</v>
      </c>
      <c r="G50" s="98" t="s">
        <v>258</v>
      </c>
      <c r="H50" s="98" t="s">
        <v>258</v>
      </c>
      <c r="I50" s="98" t="s">
        <v>258</v>
      </c>
    </row>
    <row r="51" spans="1:9" ht="30" x14ac:dyDescent="0.25">
      <c r="A51" s="98" t="s">
        <v>352</v>
      </c>
      <c r="B51" s="98">
        <v>50</v>
      </c>
      <c r="C51" s="98" t="s">
        <v>353</v>
      </c>
      <c r="D51" s="98" t="s">
        <v>277</v>
      </c>
      <c r="E51" s="98" t="s">
        <v>278</v>
      </c>
      <c r="F51" s="98" t="s">
        <v>136</v>
      </c>
      <c r="G51" s="98" t="s">
        <v>354</v>
      </c>
      <c r="H51" s="98">
        <v>2</v>
      </c>
      <c r="I51" s="98" t="s">
        <v>124</v>
      </c>
    </row>
  </sheetData>
  <phoneticPr fontId="28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5" x14ac:dyDescent="0.25"/>
  <cols>
    <col min="1" max="1" width="11.7109375" bestFit="1" customWidth="1"/>
  </cols>
  <sheetData>
    <row r="1" spans="1:1" x14ac:dyDescent="0.25">
      <c r="A1" s="26" t="s">
        <v>11</v>
      </c>
    </row>
    <row r="2" spans="1:1" x14ac:dyDescent="0.25">
      <c r="A2" s="26" t="s">
        <v>57</v>
      </c>
    </row>
    <row r="3" spans="1:1" x14ac:dyDescent="0.25">
      <c r="A3" s="26" t="s">
        <v>85</v>
      </c>
    </row>
    <row r="4" spans="1:1" x14ac:dyDescent="0.25">
      <c r="A4" s="26" t="s">
        <v>87</v>
      </c>
    </row>
    <row r="5" spans="1:1" x14ac:dyDescent="0.25">
      <c r="A5" s="26" t="s">
        <v>356</v>
      </c>
    </row>
    <row r="22" spans="2:2" x14ac:dyDescent="0.25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G3" sqref="G3"/>
    </sheetView>
  </sheetViews>
  <sheetFormatPr defaultRowHeight="15" x14ac:dyDescent="0.25"/>
  <cols>
    <col min="1" max="1" width="13.28515625" bestFit="1" customWidth="1"/>
    <col min="2" max="4" width="13.7109375" bestFit="1" customWidth="1"/>
    <col min="5" max="5" width="18" bestFit="1" customWidth="1"/>
    <col min="6" max="7" width="19" bestFit="1" customWidth="1"/>
  </cols>
  <sheetData>
    <row r="1" spans="1:7" x14ac:dyDescent="0.25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25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25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25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25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25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Básico</vt:lpstr>
      <vt:lpstr>Subclasse</vt:lpstr>
      <vt:lpstr>Equipamento</vt:lpstr>
      <vt:lpstr>Passagem</vt:lpstr>
      <vt:lpstr>Outros</vt:lpstr>
      <vt:lpstr>Rank</vt:lpstr>
      <vt:lpstr>Especial de Armas</vt:lpstr>
      <vt:lpstr>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2025-06-24T22:54:48Z</dcterms:modified>
</cp:coreProperties>
</file>