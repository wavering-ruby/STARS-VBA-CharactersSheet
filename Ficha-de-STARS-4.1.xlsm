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9e359efc7a6f442/Desktop/"/>
    </mc:Choice>
  </mc:AlternateContent>
  <xr:revisionPtr revIDLastSave="736" documentId="8_{92846886-5E1A-41D6-9505-28C011E85409}" xr6:coauthVersionLast="47" xr6:coauthVersionMax="47" xr10:uidLastSave="{59BAA37F-232F-4B1C-BA2F-4F405B639D91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Outros" sheetId="7" state="hidden" r:id="rId3"/>
    <sheet name="Rank" sheetId="6" state="hidden" r:id="rId4"/>
    <sheet name="Tipos das Armas" sheetId="5" state="hidden" r:id="rId5"/>
    <sheet name="Treinamento" sheetId="3" state="hidden" r:id="rId6"/>
    <sheet name="Classe" sheetId="2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" l="1"/>
  <c r="L26" i="1"/>
  <c r="P4" i="1"/>
  <c r="N34" i="1"/>
  <c r="O34" i="1" s="1"/>
  <c r="D15" i="4" l="1"/>
  <c r="P9" i="1"/>
  <c r="P8" i="1"/>
  <c r="M12" i="1" s="1"/>
  <c r="P7" i="1"/>
  <c r="M14" i="1" s="1"/>
  <c r="P6" i="1"/>
  <c r="P5" i="1"/>
  <c r="P3" i="1"/>
  <c r="D11" i="4" l="1"/>
  <c r="F11" i="4" s="1"/>
  <c r="L53" i="1"/>
  <c r="P17" i="1"/>
  <c r="E15" i="4"/>
  <c r="G15" i="4"/>
  <c r="C1048576" i="1"/>
  <c r="N17" i="1"/>
  <c r="M13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<sst xmlns="http://schemas.openxmlformats.org/spreadsheetml/2006/main" count="327" uniqueCount="204">
  <si>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</si>
  <si>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</si>
  <si>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</si>
  <si>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</si>
  <si>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</si>
  <si>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</si>
  <si>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</si>
  <si>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</si>
  <si>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</si>
  <si>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</si>
  <si>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</si>
  <si>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</si>
  <si>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</si>
  <si>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</si>
  <si>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</si>
  <si>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</si>
  <si>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</si>
  <si>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</si>
  <si>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</si>
  <si>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</si>
  <si>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</si>
  <si>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</si>
  <si>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</si>
  <si>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</si>
  <si>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</si>
  <si>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</si>
  <si>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</si>
  <si>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</si>
  <si>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</si>
  <si>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</si>
  <si>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</si>
  <si>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</si>
  <si>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</si>
  <si>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</si>
  <si>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</si>
  <si>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</si>
  <si>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</si>
  <si>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</si>
  <si>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</si>
  <si>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</si>
  <si>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</si>
  <si>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</si>
  <si>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</si>
  <si>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</si>
  <si>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</si>
  <si>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</si>
  <si>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</si>
  <si>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</si>
  <si>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</si>
  <si>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</si>
  <si>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</si>
  <si>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</si>
  <si>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</si>
  <si>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</si>
  <si>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</si>
  <si>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</si>
  <si>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</si>
  <si>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</si>
  <si>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</si>
  <si>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</si>
  <si>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</si>
  <si>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</si>
  <si>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</si>
  <si>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</si>
  <si>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</si>
  <si>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</si>
  <si>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</si>
  <si>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</si>
  <si>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</si>
  <si>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</si>
  <si>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</si>
  <si>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</si>
  <si>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</si>
  <si>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</si>
  <si>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</si>
  <si>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</si>
  <si>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</si>
  <si>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</si>
  <si>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</si>
  <si>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</si>
  <si>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</si>
  <si>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</si>
  <si>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</si>
  <si>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</si>
  <si>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</si>
  <si>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</si>
  <si>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</si>
  <si>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</si>
  <si>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</si>
  <si>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</si>
  <si>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</si>
  <si>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</si>
  <si>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</si>
  <si>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</si>
  <si>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</si>
  <si>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</si>
  <si>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</si>
  <si>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</si>
  <si>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</si>
  <si>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</si>
  <si>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</si>
  <si>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</si>
  <si>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</si>
  <si>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</si>
  <si>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</si>
  <si>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</si>
  <si>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</si>
  <si>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</si>
  <si>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</si>
  <si>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</si>
  <si>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</si>
  <si>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</si>
  <si>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</si>
  <si>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</si>
  <si>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</si>
  <si>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</si>
  <si>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</si>
  <si>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</si>
  <si>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</si>
  <si>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</si>
  <si>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</si>
  <si>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</si>
  <si>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</si>
  <si>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</si>
  <si>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</si>
  <si>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</si>
  <si>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</si>
  <si>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</si>
  <si>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</si>
  <si>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</si>
  <si>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</si>
  <si>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</si>
  <si>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</si>
  <si>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</si>
  <si>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</si>
  <si>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</si>
  <si>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</si>
  <si>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</si>
  <si>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</si>
  <si>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</si>
  <si>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</si>
  <si>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</si>
  <si>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</si>
  <si>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</si>
  <si>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</si>
  <si>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</si>
  <si>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</si>
  <si>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</si>
  <si>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</si>
  <si>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</si>
  <si>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</si>
  <si>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</si>
  <si>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</si>
  <si>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</si>
  <si>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</si>
  <si>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</si>
  <si>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</si>
  <si>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</si>
  <si>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</si>
  <si>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</si>
  <si>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</si>
  <si>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</si>
  <si>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</si>
  <si>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</si>
  <si>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</si>
  <si>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Lorem Ipsom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</si>
  <si>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</si>
  <si>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</si>
  <si>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</si>
  <si>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</si>
  <si>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</si>
  <si>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</si>
  <si>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</si>
  <si>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</si>
  <si>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</si>
  <si>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Perfil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</si>
  <si>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</si>
  <si>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</si>
  <si>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</si>
  <si>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</si>
  <si>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</si>
  <si>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</si>
  <si>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</si>
  <si>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</si>
  <si>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</si>
  <si>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</si>
  <si>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</si>
  <si>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</si>
  <si>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</si>
  <si>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</si>
  <si>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</si>
  <si>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</si>
  <si>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</si>
  <si>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</si>
  <si>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</si>
  <si>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</si>
  <si>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</si>
  <si>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 xml:space="preserve">Tamanho da Pika: </t>
  </si>
  <si>
    <t>cm</t>
  </si>
  <si>
    <t>Bloquear</t>
  </si>
  <si>
    <t>Esquiva</t>
  </si>
  <si>
    <t>Perpepção Passiva</t>
  </si>
  <si>
    <t>Reações  / Per. Pass.</t>
  </si>
  <si>
    <t>2 &lt;- [ 2 ]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</si>
</sst>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35"/>
      <color theme="1"/>
      <name val="Agency FB"/>
      <family val="2"/>
    </font>
    <font>
      <sz val="35"/>
      <color theme="1"/>
      <name val="Agency FB"/>
      <family val="2"/>
    </font>
    <font>
      <sz val="40"/>
      <color theme="0"/>
      <name val="Algerian"/>
      <family val="5"/>
    </font>
    <font>
      <sz val="24"/>
      <color theme="1"/>
      <name val="Aptos Narrow"/>
      <family val="2"/>
      <scheme val="minor"/>
    </font>
    <font>
      <sz val="11"/>
      <color theme="1"/>
      <name val="Agency FB"/>
      <family val="2"/>
    </font>
    <font>
      <sz val="32"/>
      <color theme="1"/>
      <name val="Agency FB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vertical="center"/>
    </xf>
    <xf numFmtId="164" fontId="23" fillId="4" borderId="34" xfId="0" applyNumberFormat="1" applyFont="1" applyFill="1" applyBorder="1" applyAlignment="1">
      <alignment horizontal="center" vertical="center" wrapText="1"/>
    </xf>
    <xf numFmtId="164" fontId="23" fillId="4" borderId="35" xfId="0" applyNumberFormat="1" applyFont="1" applyFill="1" applyBorder="1" applyAlignment="1">
      <alignment horizontal="center" vertical="center" wrapText="1"/>
    </xf>
    <xf numFmtId="164" fontId="23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9" fontId="0" fillId="0" borderId="13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0" fontId="22" fillId="5" borderId="34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21" fillId="5" borderId="34" xfId="0" applyFont="1" applyFill="1" applyBorder="1" applyAlignment="1">
      <alignment horizontal="center" vertical="center"/>
    </xf>
    <xf numFmtId="0" fontId="21" fillId="5" borderId="35" xfId="0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9" fontId="21" fillId="9" borderId="34" xfId="0" applyNumberFormat="1" applyFont="1" applyFill="1" applyBorder="1" applyAlignment="1">
      <alignment horizontal="center" vertical="center"/>
    </xf>
    <xf numFmtId="9" fontId="21" fillId="9" borderId="35" xfId="0" applyNumberFormat="1" applyFont="1" applyFill="1" applyBorder="1" applyAlignment="1">
      <alignment horizontal="center" vertical="center"/>
    </xf>
    <xf numFmtId="9" fontId="21" fillId="9" borderId="36" xfId="0" applyNumberFormat="1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" fontId="20" fillId="9" borderId="34" xfId="0" applyNumberFormat="1" applyFont="1" applyFill="1" applyBorder="1" applyAlignment="1">
      <alignment horizontal="center" vertical="center"/>
    </xf>
    <xf numFmtId="1" fontId="20" fillId="9" borderId="35" xfId="0" applyNumberFormat="1" applyFont="1" applyFill="1" applyBorder="1" applyAlignment="1">
      <alignment horizontal="center" vertical="center"/>
    </xf>
    <xf numFmtId="1" fontId="20" fillId="9" borderId="36" xfId="0" applyNumberFormat="1" applyFont="1" applyFill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</cellXfs>
  <cellStyles count="1">
    <cellStyle name="Normal" xfId="0" builtinId="0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35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38:D58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A39" zoomScaleNormal="100" workbookViewId="0">
      <selection activeCell="N61" sqref="N61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bestFit="1" customWidth="1"/>
    <col min="20" max="20" width="16.44140625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00"/>
      <c r="C2" s="101"/>
      <c r="D2" s="102"/>
      <c r="F2" s="109" t="s">
        <v>0</v>
      </c>
      <c r="G2" s="110"/>
      <c r="H2" s="111"/>
      <c r="J2" s="139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03"/>
      <c r="C3" s="104"/>
      <c r="D3" s="105"/>
      <c r="F3" s="1"/>
      <c r="G3" s="2"/>
      <c r="H3" s="2"/>
      <c r="J3" s="140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03"/>
      <c r="C4" s="104"/>
      <c r="D4" s="105"/>
      <c r="E4" s="11"/>
      <c r="F4" s="3" t="s">
        <v>1</v>
      </c>
      <c r="G4" s="91"/>
      <c r="H4" s="92"/>
      <c r="J4" s="140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03"/>
      <c r="C5" s="104"/>
      <c r="D5" s="105"/>
      <c r="F5" s="4"/>
      <c r="G5" s="4"/>
      <c r="H5" s="4"/>
      <c r="J5" s="140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03"/>
      <c r="C6" s="104"/>
      <c r="D6" s="105"/>
      <c r="F6" s="3" t="s">
        <v>2</v>
      </c>
      <c r="G6" s="99"/>
      <c r="H6" s="92"/>
      <c r="J6" s="140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03"/>
      <c r="C7" s="104"/>
      <c r="D7" s="105"/>
      <c r="F7" s="4"/>
      <c r="G7" s="4"/>
      <c r="H7" s="4"/>
      <c r="J7" s="140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03"/>
      <c r="C8" s="104"/>
      <c r="D8" s="105"/>
      <c r="F8" s="3" t="s">
        <v>84</v>
      </c>
      <c r="G8" s="112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13"/>
      <c r="J8" s="140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03"/>
      <c r="C9" s="104"/>
      <c r="D9" s="105"/>
      <c r="F9" s="4"/>
      <c r="G9" s="4"/>
      <c r="H9" s="4"/>
      <c r="J9" s="140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03"/>
      <c r="C10" s="104"/>
      <c r="D10" s="105"/>
      <c r="F10" s="3" t="s">
        <v>41</v>
      </c>
      <c r="G10" s="114"/>
      <c r="H10" s="115"/>
      <c r="J10" s="140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03"/>
      <c r="C11" s="104"/>
      <c r="D11" s="105"/>
      <c r="F11" s="4"/>
      <c r="G11" s="4"/>
      <c r="H11" s="4"/>
      <c r="J11" s="140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03"/>
      <c r="C12" s="104"/>
      <c r="D12" s="105"/>
      <c r="F12" s="3" t="s">
        <v>42</v>
      </c>
      <c r="G12" s="99"/>
      <c r="H12" s="92"/>
      <c r="J12" s="140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03"/>
      <c r="C13" s="104"/>
      <c r="D13" s="105"/>
      <c r="F13" s="4"/>
      <c r="G13" s="4"/>
      <c r="H13" s="4"/>
      <c r="J13" s="140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03"/>
      <c r="C14" s="104"/>
      <c r="D14" s="105"/>
      <c r="F14" s="3" t="s">
        <v>3</v>
      </c>
      <c r="G14" s="99"/>
      <c r="H14" s="92"/>
      <c r="J14" s="140"/>
      <c r="L14" s="20" t="s">
        <v>38</v>
      </c>
      <c r="M14" s="21">
        <f>IFERROR((VLOOKUP($G$18,Classe[],4,TRUE)+P7)+((($G$22-5%)/5%)*(VLOOKUP($G$18,Classe[],7,TRUE)+P7)),0)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03"/>
      <c r="C15" s="104"/>
      <c r="D15" s="105"/>
      <c r="F15" s="4"/>
      <c r="G15" s="4"/>
      <c r="H15" s="4"/>
      <c r="J15" s="140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03"/>
      <c r="C16" s="104"/>
      <c r="D16" s="105"/>
      <c r="F16" s="3" t="s">
        <v>4</v>
      </c>
      <c r="G16" s="97"/>
      <c r="H16" s="98"/>
      <c r="J16" s="140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03"/>
      <c r="C17" s="104"/>
      <c r="D17" s="105"/>
      <c r="F17" s="4"/>
      <c r="G17" s="4"/>
      <c r="H17" s="4"/>
      <c r="J17" s="140"/>
      <c r="L17" s="90">
        <f>5 + P5 + M17 + IF(N53="NÃO",IF(T25 = "Calejado", 2, IF(T25 = "Experiente", 3, IF(T25="Mestre",4,0))),0)</f>
        <v>5</v>
      </c>
      <c r="M17" s="84"/>
      <c r="N17" s="87">
        <f>5 + (G22 / 5%) / 2 + O17 + P6</f>
        <v>5</v>
      </c>
      <c r="O17" s="84"/>
      <c r="P17" s="81" t="str">
        <f>IF(P16="Deslocamento (m)", _xlfn.VALUETOTEXT(9+IF(AND(G18="Duelista",G20="Tropa de Elite",G22&gt;=15%),3,0)+(ROUND(P5/2,0)*1.5)), _xlfn.VALUETOTEXT(((9+IF(AND(G18="Duelista",G20="Tropa de Elite",G22&gt;=15%),3,0)+(ROUND(P5/2,0)*1.5))/1.5)))</f>
        <v>9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03"/>
      <c r="C18" s="104"/>
      <c r="D18" s="105"/>
      <c r="E18" s="11"/>
      <c r="F18" s="3" t="s">
        <v>5</v>
      </c>
      <c r="G18" s="99"/>
      <c r="H18" s="92"/>
      <c r="J18" s="140"/>
      <c r="L18" s="88"/>
      <c r="M18" s="85"/>
      <c r="N18" s="88"/>
      <c r="O18" s="85"/>
      <c r="P18" s="82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03"/>
      <c r="C19" s="104"/>
      <c r="D19" s="105"/>
      <c r="F19" s="5"/>
      <c r="G19" s="5"/>
      <c r="H19" s="5"/>
      <c r="J19" s="140"/>
      <c r="L19" s="88"/>
      <c r="M19" s="85"/>
      <c r="N19" s="88"/>
      <c r="O19" s="85"/>
      <c r="P19" s="82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03"/>
      <c r="C20" s="104"/>
      <c r="D20" s="105"/>
      <c r="E20" s="11"/>
      <c r="F20" s="6" t="s">
        <v>6</v>
      </c>
      <c r="G20" s="99"/>
      <c r="H20" s="92"/>
      <c r="J20" s="140"/>
      <c r="L20" s="89"/>
      <c r="M20" s="86"/>
      <c r="N20" s="89"/>
      <c r="O20" s="86"/>
      <c r="P20" s="83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03"/>
      <c r="C21" s="104"/>
      <c r="D21" s="105"/>
      <c r="F21" s="5"/>
      <c r="G21" s="5"/>
      <c r="H21" s="5"/>
      <c r="J21" s="140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06"/>
      <c r="C22" s="107"/>
      <c r="D22" s="108"/>
      <c r="E22" s="11"/>
      <c r="F22" s="6" t="s">
        <v>7</v>
      </c>
      <c r="G22" s="96"/>
      <c r="H22" s="92"/>
      <c r="J22" s="141"/>
      <c r="L22" s="133" t="str">
        <f>_xlfn.CONCAT("Limite de PP: ",(G22/5%) + IF(G20="Caminho da Agonia", P6, 0))</f>
        <v>Limite de PP: 0</v>
      </c>
      <c r="M22" s="133"/>
      <c r="N22" s="133"/>
      <c r="O22" s="133"/>
      <c r="P22" s="133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93" t="s">
        <v>146</v>
      </c>
      <c r="C24" s="94"/>
      <c r="D24" s="95"/>
      <c r="F24" s="93" t="s">
        <v>175</v>
      </c>
      <c r="G24" s="94"/>
      <c r="H24" s="95"/>
      <c r="J24" s="119" t="s">
        <v>48</v>
      </c>
      <c r="L24" s="136" t="s">
        <v>50</v>
      </c>
      <c r="M24" s="14" t="s">
        <v>10</v>
      </c>
      <c r="N24" s="15" t="s">
        <v>51</v>
      </c>
      <c r="O24" s="138" t="s">
        <v>52</v>
      </c>
      <c r="P24" s="138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22"/>
      <c r="G25" s="123"/>
      <c r="H25" s="124"/>
      <c r="J25" s="120"/>
      <c r="L25" s="137"/>
      <c r="M25" s="66"/>
      <c r="N25" s="35"/>
      <c r="O25" s="131"/>
      <c r="P25" s="132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>
        <v>0.1</v>
      </c>
      <c r="D26" s="71"/>
      <c r="F26" s="125"/>
      <c r="G26" s="126"/>
      <c r="H26" s="127"/>
      <c r="J26" s="120"/>
      <c r="L26" s="134">
        <f>((M9+N9)*3)+SUM(N25:N31)</f>
        <v>0</v>
      </c>
      <c r="M26" s="67"/>
      <c r="N26" s="34"/>
      <c r="O26" s="131"/>
      <c r="P26" s="132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>
        <v>0.2</v>
      </c>
      <c r="D27" s="70"/>
      <c r="F27" s="125"/>
      <c r="G27" s="126"/>
      <c r="H27" s="127"/>
      <c r="J27" s="120"/>
      <c r="L27" s="135"/>
      <c r="M27" s="68"/>
      <c r="N27" s="28"/>
      <c r="O27" s="131"/>
      <c r="P27" s="132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>
        <v>0.3</v>
      </c>
      <c r="D28" s="70"/>
      <c r="F28" s="125"/>
      <c r="G28" s="126"/>
      <c r="H28" s="127"/>
      <c r="J28" s="120"/>
      <c r="L28" s="135"/>
      <c r="M28" s="69"/>
      <c r="N28" s="27"/>
      <c r="O28" s="131"/>
      <c r="P28" s="132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>
        <v>0.4</v>
      </c>
      <c r="D29" s="11"/>
      <c r="F29" s="125"/>
      <c r="G29" s="126"/>
      <c r="H29" s="127"/>
      <c r="J29" s="120"/>
      <c r="L29" s="135"/>
      <c r="M29" s="69"/>
      <c r="N29" s="27"/>
      <c r="O29" s="131"/>
      <c r="P29" s="132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>
        <v>0.5</v>
      </c>
      <c r="D30" s="11"/>
      <c r="F30" s="125"/>
      <c r="G30" s="126"/>
      <c r="H30" s="127"/>
      <c r="J30" s="120"/>
      <c r="L30" s="135"/>
      <c r="M30" s="68"/>
      <c r="N30" s="28"/>
      <c r="O30" s="131"/>
      <c r="P30" s="132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>
        <v>0.6</v>
      </c>
      <c r="D31" s="11"/>
      <c r="F31" s="128"/>
      <c r="G31" s="129"/>
      <c r="H31" s="130"/>
      <c r="J31" s="121"/>
      <c r="L31" s="135"/>
      <c r="M31" s="66"/>
      <c r="N31" s="35"/>
      <c r="O31" s="131"/>
      <c r="P31" s="132"/>
    </row>
    <row r="32" spans="2:22" ht="15" thickBot="1" x14ac:dyDescent="0.35">
      <c r="B32" s="10"/>
      <c r="C32" s="61">
        <v>0.7</v>
      </c>
      <c r="D32" s="11"/>
    </row>
    <row r="33" spans="2:16" ht="15.6" thickBot="1" x14ac:dyDescent="0.35">
      <c r="B33" s="10"/>
      <c r="C33" s="61">
        <v>0.8</v>
      </c>
      <c r="D33" s="11"/>
      <c r="F33" s="72" t="s">
        <v>152</v>
      </c>
      <c r="G33" s="73" t="s">
        <v>159</v>
      </c>
      <c r="H33" s="74" t="s">
        <v>158</v>
      </c>
      <c r="J33" s="119" t="s">
        <v>166</v>
      </c>
      <c r="L33" s="33" t="s">
        <v>162</v>
      </c>
      <c r="M33" s="33" t="s">
        <v>163</v>
      </c>
      <c r="N33" s="33" t="s">
        <v>164</v>
      </c>
      <c r="O33" s="33" t="s">
        <v>162</v>
      </c>
      <c r="P33" s="33" t="s">
        <v>165</v>
      </c>
    </row>
    <row r="34" spans="2:16" ht="15" thickTop="1" x14ac:dyDescent="0.3">
      <c r="B34" s="10"/>
      <c r="C34" s="61">
        <v>0.9</v>
      </c>
      <c r="D34" s="11"/>
      <c r="F34" s="75" t="s">
        <v>154</v>
      </c>
      <c r="G34" s="26">
        <v>0</v>
      </c>
      <c r="H34" s="26" t="s">
        <v>161</v>
      </c>
      <c r="J34" s="120"/>
      <c r="L34" s="142"/>
      <c r="M34" s="145" t="s">
        <v>161</v>
      </c>
      <c r="N34" s="142">
        <f>SUMIF(Resistencia_Elemental[Aplicável?],"SIM",Resistencia_Elemental[RD (n°)])+SUMIF(Resistencia_Fisico[Aplicável?],"SIM",Resistencia_Fisico[RD (n°)])</f>
        <v>0</v>
      </c>
      <c r="O34" s="154">
        <f>($L$34-$N$34)/IF($M$34="SIM",2,1)</f>
        <v>0</v>
      </c>
      <c r="P34" s="116"/>
    </row>
    <row r="35" spans="2:16" x14ac:dyDescent="0.3">
      <c r="B35" s="12"/>
      <c r="C35" s="64">
        <v>1</v>
      </c>
      <c r="D35" s="13"/>
      <c r="F35" s="75" t="s">
        <v>93</v>
      </c>
      <c r="G35" s="26">
        <v>0</v>
      </c>
      <c r="H35" s="26" t="s">
        <v>161</v>
      </c>
      <c r="J35" s="120"/>
      <c r="L35" s="143"/>
      <c r="M35" s="146"/>
      <c r="N35" s="143"/>
      <c r="O35" s="155"/>
      <c r="P35" s="117"/>
    </row>
    <row r="36" spans="2:16" x14ac:dyDescent="0.3">
      <c r="F36" s="75" t="s">
        <v>157</v>
      </c>
      <c r="G36" s="26">
        <v>0</v>
      </c>
      <c r="H36" s="26" t="s">
        <v>161</v>
      </c>
      <c r="J36" s="120"/>
      <c r="L36" s="143"/>
      <c r="M36" s="146"/>
      <c r="N36" s="143"/>
      <c r="O36" s="155"/>
      <c r="P36" s="117"/>
    </row>
    <row r="37" spans="2:16" ht="17.399999999999999" x14ac:dyDescent="0.3">
      <c r="B37" s="93" t="s">
        <v>8</v>
      </c>
      <c r="C37" s="94"/>
      <c r="D37" s="95"/>
      <c r="F37" s="75" t="s">
        <v>19</v>
      </c>
      <c r="G37" s="26">
        <v>0</v>
      </c>
      <c r="H37" s="26" t="s">
        <v>161</v>
      </c>
      <c r="J37" s="120"/>
      <c r="L37" s="143"/>
      <c r="M37" s="146"/>
      <c r="N37" s="143"/>
      <c r="O37" s="155"/>
      <c r="P37" s="117"/>
    </row>
    <row r="38" spans="2:16" ht="15" x14ac:dyDescent="0.3">
      <c r="B38" s="7" t="s">
        <v>10</v>
      </c>
      <c r="C38" s="8" t="s">
        <v>147</v>
      </c>
      <c r="D38" s="9" t="s">
        <v>148</v>
      </c>
      <c r="F38" s="75" t="s">
        <v>153</v>
      </c>
      <c r="G38" s="26">
        <v>0</v>
      </c>
      <c r="H38" s="26" t="s">
        <v>161</v>
      </c>
      <c r="J38" s="120"/>
      <c r="L38" s="143"/>
      <c r="M38" s="146"/>
      <c r="N38" s="143"/>
      <c r="O38" s="155"/>
      <c r="P38" s="117"/>
    </row>
    <row r="39" spans="2:16" x14ac:dyDescent="0.3">
      <c r="B39" s="58"/>
      <c r="C39" s="59">
        <v>0.05</v>
      </c>
      <c r="D39" s="60" t="s">
        <v>149</v>
      </c>
      <c r="F39" s="75" t="s">
        <v>155</v>
      </c>
      <c r="G39" s="26">
        <v>0</v>
      </c>
      <c r="H39" s="26" t="s">
        <v>161</v>
      </c>
      <c r="J39" s="120"/>
      <c r="L39" s="143"/>
      <c r="M39" s="146"/>
      <c r="N39" s="143"/>
      <c r="O39" s="155"/>
      <c r="P39" s="117"/>
    </row>
    <row r="40" spans="2:16" ht="15" thickBot="1" x14ac:dyDescent="0.35">
      <c r="B40" s="10"/>
      <c r="C40" s="61">
        <v>0.15</v>
      </c>
      <c r="D40" s="62" t="s">
        <v>149</v>
      </c>
      <c r="F40" s="75" t="s">
        <v>156</v>
      </c>
      <c r="G40" s="26">
        <v>0</v>
      </c>
      <c r="H40" s="26" t="s">
        <v>161</v>
      </c>
      <c r="J40" s="121"/>
      <c r="L40" s="144"/>
      <c r="M40" s="147"/>
      <c r="N40" s="144"/>
      <c r="O40" s="156"/>
      <c r="P40" s="118"/>
    </row>
    <row r="41" spans="2:16" ht="15" thickBot="1" x14ac:dyDescent="0.35">
      <c r="B41" s="10"/>
      <c r="C41" s="61">
        <v>0.25</v>
      </c>
      <c r="D41" s="63" t="s">
        <v>149</v>
      </c>
    </row>
    <row r="42" spans="2:16" ht="16.5" customHeight="1" thickBot="1" x14ac:dyDescent="0.35">
      <c r="B42" s="10"/>
      <c r="C42" s="61">
        <v>0.35</v>
      </c>
      <c r="D42" s="63" t="s">
        <v>150</v>
      </c>
      <c r="F42" s="72" t="s">
        <v>167</v>
      </c>
      <c r="G42" s="73" t="s">
        <v>159</v>
      </c>
      <c r="H42" s="74" t="s">
        <v>158</v>
      </c>
      <c r="J42" s="119" t="s">
        <v>183</v>
      </c>
      <c r="L42" s="76" t="s">
        <v>181</v>
      </c>
      <c r="M42" s="78" t="s">
        <v>186</v>
      </c>
      <c r="N42" s="152" t="s">
        <v>181</v>
      </c>
      <c r="O42" s="153"/>
    </row>
    <row r="43" spans="2:16" ht="15" customHeight="1" thickTop="1" x14ac:dyDescent="0.3">
      <c r="B43" s="10"/>
      <c r="C43" s="61">
        <v>0.45</v>
      </c>
      <c r="D43" s="63" t="s">
        <v>150</v>
      </c>
      <c r="F43" s="75" t="s">
        <v>169</v>
      </c>
      <c r="G43" s="26">
        <v>0</v>
      </c>
      <c r="H43" s="26" t="s">
        <v>161</v>
      </c>
      <c r="J43" s="120"/>
      <c r="L43" s="79" t="s">
        <v>185</v>
      </c>
      <c r="M43" s="79"/>
      <c r="N43" s="148" t="s">
        <v>203</v>
      </c>
      <c r="O43" s="149"/>
    </row>
    <row r="44" spans="2:16" ht="15.6" customHeight="1" x14ac:dyDescent="0.3">
      <c r="B44" s="10"/>
      <c r="C44" s="61">
        <v>0.55000000000000004</v>
      </c>
      <c r="D44" s="62" t="s">
        <v>151</v>
      </c>
      <c r="F44" s="75" t="s">
        <v>171</v>
      </c>
      <c r="G44" s="26">
        <v>0</v>
      </c>
      <c r="H44" s="26" t="s">
        <v>161</v>
      </c>
      <c r="J44" s="120"/>
      <c r="L44" s="76" t="s">
        <v>182</v>
      </c>
      <c r="M44" s="76"/>
      <c r="N44" s="148"/>
      <c r="O44" s="149"/>
    </row>
    <row r="45" spans="2:16" ht="15" customHeight="1" x14ac:dyDescent="0.3">
      <c r="B45" s="10"/>
      <c r="C45" s="61">
        <v>0.65</v>
      </c>
      <c r="D45" s="63" t="s">
        <v>151</v>
      </c>
      <c r="F45" s="75" t="s">
        <v>114</v>
      </c>
      <c r="G45" s="26">
        <v>0</v>
      </c>
      <c r="H45" s="26" t="s">
        <v>161</v>
      </c>
      <c r="J45" s="120"/>
      <c r="L45" s="77"/>
      <c r="M45" s="80"/>
      <c r="N45" s="148"/>
      <c r="O45" s="149"/>
    </row>
    <row r="46" spans="2:16" ht="15.6" customHeight="1" x14ac:dyDescent="0.3">
      <c r="B46" s="10"/>
      <c r="C46" s="61">
        <v>0.75</v>
      </c>
      <c r="D46" s="63" t="s">
        <v>178</v>
      </c>
      <c r="F46" s="75" t="s">
        <v>170</v>
      </c>
      <c r="G46" s="26">
        <v>0</v>
      </c>
      <c r="H46" s="26" t="s">
        <v>161</v>
      </c>
      <c r="J46" s="120"/>
      <c r="L46" s="76" t="s">
        <v>11</v>
      </c>
      <c r="M46" s="76"/>
      <c r="N46" s="148"/>
      <c r="O46" s="149"/>
    </row>
    <row r="47" spans="2:16" ht="15" customHeight="1" x14ac:dyDescent="0.3">
      <c r="B47" s="10"/>
      <c r="C47" s="61">
        <v>0.85</v>
      </c>
      <c r="D47" s="63" t="s">
        <v>177</v>
      </c>
      <c r="F47" s="75" t="s">
        <v>174</v>
      </c>
      <c r="G47" s="26">
        <v>0</v>
      </c>
      <c r="H47" s="26" t="s">
        <v>161</v>
      </c>
      <c r="J47" s="120"/>
      <c r="L47" s="77"/>
      <c r="M47" s="80"/>
      <c r="N47" s="148"/>
      <c r="O47" s="149"/>
    </row>
    <row r="48" spans="2:16" ht="15.6" customHeight="1" x14ac:dyDescent="0.3">
      <c r="B48" s="10"/>
      <c r="C48" s="61">
        <v>0.95</v>
      </c>
      <c r="D48" s="63" t="s">
        <v>179</v>
      </c>
      <c r="F48" s="75" t="s">
        <v>168</v>
      </c>
      <c r="G48" s="26">
        <v>0</v>
      </c>
      <c r="H48" s="26" t="s">
        <v>161</v>
      </c>
      <c r="J48" s="120"/>
      <c r="L48" s="76" t="s">
        <v>184</v>
      </c>
      <c r="M48" s="76"/>
      <c r="N48" s="148"/>
      <c r="O48" s="149"/>
    </row>
    <row r="49" spans="2:16" ht="15" customHeight="1" x14ac:dyDescent="0.3">
      <c r="B49" s="10"/>
      <c r="C49" s="61" t="s">
        <v>180</v>
      </c>
      <c r="D49" s="63"/>
      <c r="F49" s="75" t="s">
        <v>172</v>
      </c>
      <c r="G49" s="26">
        <v>0</v>
      </c>
      <c r="H49" s="26" t="s">
        <v>161</v>
      </c>
      <c r="J49" s="120"/>
      <c r="L49" s="77"/>
      <c r="M49" s="80"/>
      <c r="N49" s="148"/>
      <c r="O49" s="149"/>
    </row>
    <row r="50" spans="2:16" ht="15.6" customHeight="1" thickBot="1" x14ac:dyDescent="0.35">
      <c r="B50" s="10"/>
      <c r="C50" s="61" t="s">
        <v>180</v>
      </c>
      <c r="D50" s="63"/>
      <c r="F50" s="75" t="s">
        <v>173</v>
      </c>
      <c r="G50" s="26">
        <v>0</v>
      </c>
      <c r="H50" s="26" t="s">
        <v>161</v>
      </c>
      <c r="J50" s="121"/>
      <c r="L50" s="76"/>
      <c r="M50" s="76"/>
      <c r="N50" s="150"/>
      <c r="O50" s="151"/>
    </row>
    <row r="51" spans="2:16" ht="15" thickBot="1" x14ac:dyDescent="0.35">
      <c r="B51" s="10"/>
      <c r="C51" s="61" t="s">
        <v>180</v>
      </c>
      <c r="D51" s="63"/>
    </row>
    <row r="52" spans="2:16" ht="15.6" customHeight="1" thickBot="1" x14ac:dyDescent="0.35">
      <c r="B52" s="10"/>
      <c r="C52" s="61" t="s">
        <v>180</v>
      </c>
      <c r="D52" s="63"/>
      <c r="F52" s="161" t="s">
        <v>9</v>
      </c>
      <c r="G52" s="162"/>
      <c r="H52" s="163"/>
      <c r="J52" s="119" t="s">
        <v>202</v>
      </c>
      <c r="L52" s="76" t="s">
        <v>199</v>
      </c>
      <c r="N52" s="76" t="s">
        <v>200</v>
      </c>
      <c r="P52" s="76" t="s">
        <v>201</v>
      </c>
    </row>
    <row r="53" spans="2:16" x14ac:dyDescent="0.3">
      <c r="B53" s="10"/>
      <c r="C53" s="61" t="s">
        <v>180</v>
      </c>
      <c r="D53" s="63"/>
      <c r="F53" s="164"/>
      <c r="G53" s="165"/>
      <c r="H53" s="166"/>
      <c r="J53" s="120"/>
      <c r="L53" s="157">
        <f>$P$3 + IF($T$10 = "Calejado", 2, IF($T$10 = "Experiente", 3, IF($T$10="Mestre",4,0))) + IF(G20 = "Robusto",P8,0)</f>
        <v>0</v>
      </c>
      <c r="N53" s="157" t="s">
        <v>160</v>
      </c>
      <c r="P53" s="157">
        <f>5 + VLOOKUP("Percepção", Atributos[], 5, TRUE)</f>
        <v>5</v>
      </c>
    </row>
    <row r="54" spans="2:16" x14ac:dyDescent="0.3">
      <c r="B54" s="10"/>
      <c r="C54" s="61" t="s">
        <v>180</v>
      </c>
      <c r="D54" s="63"/>
      <c r="F54" s="167"/>
      <c r="G54" s="168"/>
      <c r="H54" s="169"/>
      <c r="J54" s="120"/>
      <c r="L54" s="158"/>
      <c r="N54" s="158"/>
      <c r="P54" s="158"/>
    </row>
    <row r="55" spans="2:16" x14ac:dyDescent="0.3">
      <c r="B55" s="10"/>
      <c r="C55" s="61" t="s">
        <v>180</v>
      </c>
      <c r="D55" s="63"/>
      <c r="F55" s="167"/>
      <c r="G55" s="168"/>
      <c r="H55" s="169"/>
      <c r="J55" s="120"/>
      <c r="L55" s="158"/>
      <c r="N55" s="158"/>
      <c r="P55" s="158"/>
    </row>
    <row r="56" spans="2:16" x14ac:dyDescent="0.3">
      <c r="B56" s="10"/>
      <c r="C56" s="61" t="s">
        <v>180</v>
      </c>
      <c r="D56" s="63"/>
      <c r="F56" s="167"/>
      <c r="G56" s="168"/>
      <c r="H56" s="169"/>
      <c r="J56" s="120"/>
      <c r="L56" s="158"/>
      <c r="N56" s="158"/>
      <c r="P56" s="158"/>
    </row>
    <row r="57" spans="2:16" x14ac:dyDescent="0.3">
      <c r="B57" s="10"/>
      <c r="C57" s="61" t="s">
        <v>180</v>
      </c>
      <c r="D57" s="63"/>
      <c r="F57" s="167"/>
      <c r="G57" s="168"/>
      <c r="H57" s="169"/>
      <c r="J57" s="120"/>
      <c r="L57" s="158"/>
      <c r="N57" s="158"/>
      <c r="P57" s="158"/>
    </row>
    <row r="58" spans="2:16" ht="15" thickBot="1" x14ac:dyDescent="0.35">
      <c r="B58" s="12"/>
      <c r="C58" s="64" t="s">
        <v>180</v>
      </c>
      <c r="D58" s="65"/>
      <c r="F58" s="170"/>
      <c r="G58" s="171"/>
      <c r="H58" s="172"/>
      <c r="J58" s="121"/>
      <c r="L58" s="159"/>
      <c r="N58" s="159"/>
      <c r="P58" s="159"/>
    </row>
    <row r="1048576" spans="1:4" x14ac:dyDescent="0.3">
      <c r="A1048576" s="160" t="s">
        <v>197</v>
      </c>
      <c r="B1048576" s="160"/>
      <c r="C1048576">
        <f>(P6 * 2.5)</f>
        <v>0</v>
      </c>
      <c r="D1048576" t="s">
        <v>198</v>
      </c>
    </row>
  </sheetData>
  <mergeCells count="50">
    <mergeCell ref="L53:L58"/>
    <mergeCell ref="N53:N58"/>
    <mergeCell ref="P53:P58"/>
    <mergeCell ref="A1048576:B1048576"/>
    <mergeCell ref="F52:H52"/>
    <mergeCell ref="F53:H58"/>
    <mergeCell ref="J52:J58"/>
    <mergeCell ref="J33:J40"/>
    <mergeCell ref="J42:J50"/>
    <mergeCell ref="N34:N40"/>
    <mergeCell ref="M34:M40"/>
    <mergeCell ref="L34:L40"/>
    <mergeCell ref="N43:O50"/>
    <mergeCell ref="N42:O42"/>
    <mergeCell ref="O34:O40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G4:H4"/>
    <mergeCell ref="B37:D37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17:P20"/>
    <mergeCell ref="O17:O20"/>
    <mergeCell ref="N17:N20"/>
    <mergeCell ref="L17:L20"/>
    <mergeCell ref="M17:M20"/>
  </mergeCells>
  <dataValidations count="1">
    <dataValidation type="list" showInputMessage="1" showErrorMessage="1" sqref="L49" xr:uid="{08959939-6A52-44E8-85B5-FE86F357123D}">
      <formula1>$R$3:$R$31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B1" workbookViewId="0">
      <selection activeCell="F33" sqref="F33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39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40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40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40"/>
    </row>
    <row r="6" spans="2:16" ht="16.2" thickBot="1" x14ac:dyDescent="0.35">
      <c r="B6" s="140"/>
      <c r="D6" s="188" t="s">
        <v>131</v>
      </c>
      <c r="E6" s="189"/>
      <c r="F6" s="189"/>
      <c r="G6" s="189"/>
      <c r="H6" s="189"/>
      <c r="I6" s="189"/>
      <c r="J6" s="189"/>
      <c r="K6" s="189"/>
      <c r="L6" s="190"/>
    </row>
    <row r="7" spans="2:16" ht="50.1" customHeight="1" thickBot="1" x14ac:dyDescent="0.35">
      <c r="B7" s="140"/>
      <c r="D7" s="191"/>
      <c r="E7" s="192"/>
      <c r="F7" s="192"/>
      <c r="G7" s="192"/>
      <c r="H7" s="192"/>
      <c r="I7" s="192"/>
      <c r="J7" s="192"/>
      <c r="K7" s="192"/>
      <c r="L7" s="193"/>
    </row>
    <row r="8" spans="2:16" ht="50.1" customHeight="1" thickBot="1" x14ac:dyDescent="0.35">
      <c r="B8" s="140"/>
      <c r="D8" s="191"/>
      <c r="E8" s="192"/>
      <c r="F8" s="192"/>
      <c r="G8" s="192"/>
      <c r="H8" s="192"/>
      <c r="I8" s="192"/>
      <c r="J8" s="192"/>
      <c r="K8" s="192"/>
      <c r="L8" s="193"/>
    </row>
    <row r="9" spans="2:16" ht="15" thickBot="1" x14ac:dyDescent="0.35">
      <c r="B9" s="140"/>
    </row>
    <row r="10" spans="2:16" ht="16.2" thickBot="1" x14ac:dyDescent="0.35">
      <c r="B10" s="140"/>
      <c r="D10" s="188" t="s">
        <v>96</v>
      </c>
      <c r="E10" s="190"/>
      <c r="F10" s="188" t="s">
        <v>97</v>
      </c>
      <c r="G10" s="190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40"/>
      <c r="D11" s="194">
        <f>7+IF(Básico!P3&gt;0,Básico!P3*2,Básico!P3)</f>
        <v>7</v>
      </c>
      <c r="E11" s="195"/>
      <c r="F11" s="194">
        <f>D11-SUM(Armamento[Espaço])-SUM(Defesa[Espaço])-SUM(Acessórios[Espaço])</f>
        <v>7</v>
      </c>
      <c r="G11" s="195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41"/>
      <c r="D12" s="196"/>
      <c r="E12" s="197"/>
      <c r="F12" s="196"/>
      <c r="G12" s="197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19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79" t="s">
        <v>143</v>
      </c>
      <c r="J14" s="180"/>
      <c r="K14" s="180"/>
      <c r="L14" s="181"/>
      <c r="N14" s="55"/>
      <c r="O14" s="55"/>
      <c r="P14" s="55"/>
    </row>
    <row r="15" spans="2:16" ht="15" customHeight="1" thickTop="1" x14ac:dyDescent="0.3">
      <c r="B15" s="120"/>
      <c r="D15" s="185" t="str">
        <f>IFERROR(VLOOKUP(Básico!G10,Rank[],3,TRUE),"")</f>
        <v/>
      </c>
      <c r="E15" s="185" t="str">
        <f>IF(D15&lt;&gt;"",SUM(Armamento[Custo])+SUM(Acessórios[Custo])+SUM(Defesa[Custo])+SUM(K16:L31),"")</f>
        <v/>
      </c>
      <c r="F15" s="185"/>
      <c r="G15" s="185" t="str">
        <f>IF(D15&lt;&gt;"",D15-E15-F15,"")</f>
        <v/>
      </c>
      <c r="I15" s="182" t="s">
        <v>10</v>
      </c>
      <c r="J15" s="183"/>
      <c r="K15" s="183" t="s">
        <v>142</v>
      </c>
      <c r="L15" s="184"/>
      <c r="N15" s="55"/>
      <c r="O15" s="55"/>
      <c r="P15" s="55"/>
    </row>
    <row r="16" spans="2:16" ht="15" customHeight="1" x14ac:dyDescent="0.3">
      <c r="B16" s="120"/>
      <c r="D16" s="186"/>
      <c r="E16" s="186"/>
      <c r="F16" s="186"/>
      <c r="G16" s="186"/>
      <c r="I16" s="176"/>
      <c r="J16" s="177"/>
      <c r="K16" s="177"/>
      <c r="L16" s="178"/>
      <c r="N16" s="55"/>
      <c r="O16" s="55"/>
      <c r="P16" s="55"/>
    </row>
    <row r="17" spans="2:16" ht="15" customHeight="1" x14ac:dyDescent="0.3">
      <c r="B17" s="120"/>
      <c r="D17" s="186"/>
      <c r="E17" s="186"/>
      <c r="F17" s="186"/>
      <c r="G17" s="186"/>
      <c r="I17" s="176"/>
      <c r="J17" s="177"/>
      <c r="K17" s="177"/>
      <c r="L17" s="178"/>
      <c r="N17" s="55"/>
      <c r="O17" s="55"/>
      <c r="P17" s="55"/>
    </row>
    <row r="18" spans="2:16" ht="15" customHeight="1" x14ac:dyDescent="0.3">
      <c r="B18" s="120"/>
      <c r="D18" s="186"/>
      <c r="E18" s="186"/>
      <c r="F18" s="186"/>
      <c r="G18" s="186"/>
      <c r="H18" s="57"/>
      <c r="I18" s="176"/>
      <c r="J18" s="177"/>
      <c r="K18" s="177"/>
      <c r="L18" s="178"/>
      <c r="N18" s="55"/>
      <c r="O18" s="55"/>
      <c r="P18" s="55"/>
    </row>
    <row r="19" spans="2:16" ht="15.75" customHeight="1" thickBot="1" x14ac:dyDescent="0.35">
      <c r="B19" s="121"/>
      <c r="D19" s="187"/>
      <c r="E19" s="187"/>
      <c r="F19" s="187"/>
      <c r="G19" s="187"/>
      <c r="I19" s="176"/>
      <c r="J19" s="177"/>
      <c r="K19" s="177"/>
      <c r="L19" s="178"/>
      <c r="N19" s="55"/>
      <c r="O19" s="55"/>
      <c r="P19" s="55"/>
    </row>
    <row r="20" spans="2:16" ht="15.75" customHeight="1" thickBot="1" x14ac:dyDescent="0.35">
      <c r="I20" s="176"/>
      <c r="J20" s="177"/>
      <c r="K20" s="177"/>
      <c r="L20" s="178"/>
    </row>
    <row r="21" spans="2:16" ht="16.5" customHeight="1" thickBot="1" x14ac:dyDescent="0.35">
      <c r="B21" s="119" t="s">
        <v>14</v>
      </c>
      <c r="D21" s="40" t="s">
        <v>95</v>
      </c>
      <c r="E21" s="41" t="s">
        <v>51</v>
      </c>
      <c r="F21" s="42" t="s">
        <v>93</v>
      </c>
      <c r="I21" s="176"/>
      <c r="J21" s="177"/>
      <c r="K21" s="177"/>
      <c r="L21" s="178"/>
    </row>
    <row r="22" spans="2:16" ht="15.75" customHeight="1" thickTop="1" x14ac:dyDescent="0.3">
      <c r="B22" s="120"/>
      <c r="D22" s="26"/>
      <c r="E22" s="26"/>
      <c r="F22" s="26"/>
      <c r="I22" s="176"/>
      <c r="J22" s="177"/>
      <c r="K22" s="177"/>
      <c r="L22" s="178"/>
    </row>
    <row r="23" spans="2:16" ht="15" customHeight="1" x14ac:dyDescent="0.3">
      <c r="B23" s="120"/>
      <c r="D23" s="26"/>
      <c r="E23" s="56"/>
      <c r="F23" s="26"/>
      <c r="I23" s="176"/>
      <c r="J23" s="177"/>
      <c r="K23" s="177"/>
      <c r="L23" s="178"/>
    </row>
    <row r="24" spans="2:16" ht="15" customHeight="1" x14ac:dyDescent="0.3">
      <c r="B24" s="120"/>
      <c r="D24" s="26"/>
      <c r="E24" s="26"/>
      <c r="F24" s="26"/>
      <c r="I24" s="176"/>
      <c r="J24" s="177"/>
      <c r="K24" s="177"/>
      <c r="L24" s="178"/>
    </row>
    <row r="25" spans="2:16" ht="15" customHeight="1" x14ac:dyDescent="0.3">
      <c r="B25" s="120"/>
      <c r="D25" s="26"/>
      <c r="E25" s="26"/>
      <c r="F25" s="26"/>
      <c r="I25" s="176"/>
      <c r="J25" s="177"/>
      <c r="K25" s="177"/>
      <c r="L25" s="178"/>
    </row>
    <row r="26" spans="2:16" ht="15.75" customHeight="1" x14ac:dyDescent="0.3">
      <c r="B26" s="120"/>
      <c r="D26" s="26"/>
      <c r="E26" s="26"/>
      <c r="F26" s="26"/>
      <c r="I26" s="176"/>
      <c r="J26" s="177"/>
      <c r="K26" s="177"/>
      <c r="L26" s="178"/>
    </row>
    <row r="27" spans="2:16" ht="15" customHeight="1" x14ac:dyDescent="0.3">
      <c r="B27" s="120"/>
      <c r="D27" s="26"/>
      <c r="E27" s="26"/>
      <c r="F27" s="26"/>
      <c r="I27" s="176"/>
      <c r="J27" s="177"/>
      <c r="K27" s="177"/>
      <c r="L27" s="178"/>
    </row>
    <row r="28" spans="2:16" ht="15" customHeight="1" x14ac:dyDescent="0.3">
      <c r="B28" s="120"/>
      <c r="D28" s="26"/>
      <c r="E28" s="26"/>
      <c r="F28" s="26"/>
      <c r="I28" s="176"/>
      <c r="J28" s="177"/>
      <c r="K28" s="177"/>
      <c r="L28" s="178"/>
    </row>
    <row r="29" spans="2:16" ht="15" customHeight="1" x14ac:dyDescent="0.3">
      <c r="B29" s="120"/>
      <c r="D29" s="26"/>
      <c r="E29" s="26"/>
      <c r="F29" s="26"/>
      <c r="I29" s="176"/>
      <c r="J29" s="177"/>
      <c r="K29" s="177"/>
      <c r="L29" s="178"/>
    </row>
    <row r="30" spans="2:16" ht="15" customHeight="1" x14ac:dyDescent="0.3">
      <c r="B30" s="120"/>
      <c r="D30" s="26"/>
      <c r="E30" s="26"/>
      <c r="F30" s="26"/>
      <c r="I30" s="176"/>
      <c r="J30" s="177"/>
      <c r="K30" s="177"/>
      <c r="L30" s="178"/>
    </row>
    <row r="31" spans="2:16" ht="15.75" customHeight="1" thickBot="1" x14ac:dyDescent="0.35">
      <c r="B31" s="121"/>
      <c r="D31" s="26"/>
      <c r="E31" s="26"/>
      <c r="F31" s="26"/>
      <c r="I31" s="173"/>
      <c r="J31" s="174"/>
      <c r="K31" s="174"/>
      <c r="L31" s="175"/>
    </row>
  </sheetData>
  <mergeCells count="49">
    <mergeCell ref="B2:B12"/>
    <mergeCell ref="D6:L6"/>
    <mergeCell ref="D7:L7"/>
    <mergeCell ref="D8:L8"/>
    <mergeCell ref="D10:E10"/>
    <mergeCell ref="F10:G10"/>
    <mergeCell ref="D11:E12"/>
    <mergeCell ref="F11:G12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25:J25"/>
    <mergeCell ref="K25:L25"/>
    <mergeCell ref="I26:J26"/>
    <mergeCell ref="K26:L26"/>
    <mergeCell ref="I30:J30"/>
    <mergeCell ref="K30:L30"/>
    <mergeCell ref="I31:J31"/>
    <mergeCell ref="K31:L31"/>
    <mergeCell ref="I27:J27"/>
    <mergeCell ref="K27:L27"/>
    <mergeCell ref="I28:J28"/>
    <mergeCell ref="K28:L28"/>
    <mergeCell ref="I29:J29"/>
    <mergeCell ref="K29:L29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176</v>
      </c>
      <c r="E2" t="s">
        <v>12</v>
      </c>
      <c r="G2" t="s">
        <v>187</v>
      </c>
    </row>
    <row r="3" spans="1:7" x14ac:dyDescent="0.3">
      <c r="E3" t="s">
        <v>195</v>
      </c>
      <c r="G3" t="s">
        <v>188</v>
      </c>
    </row>
    <row r="4" spans="1:7" x14ac:dyDescent="0.3">
      <c r="E4" t="s">
        <v>196</v>
      </c>
      <c r="G4" t="s">
        <v>189</v>
      </c>
    </row>
    <row r="5" spans="1:7" x14ac:dyDescent="0.3">
      <c r="G5" t="s">
        <v>185</v>
      </c>
    </row>
    <row r="6" spans="1:7" x14ac:dyDescent="0.3">
      <c r="G6" t="s">
        <v>190</v>
      </c>
    </row>
    <row r="7" spans="1:7" x14ac:dyDescent="0.3">
      <c r="G7" t="s">
        <v>191</v>
      </c>
    </row>
    <row r="8" spans="1:7" x14ac:dyDescent="0.3">
      <c r="G8" t="s">
        <v>192</v>
      </c>
    </row>
    <row r="9" spans="1:7" x14ac:dyDescent="0.3">
      <c r="G9" t="s">
        <v>193</v>
      </c>
    </row>
    <row r="10" spans="1:7" x14ac:dyDescent="0.3">
      <c r="G10" t="s">
        <v>194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C2" sqref="C2:C5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Básico</vt:lpstr>
      <vt:lpstr>Equipamento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2025-02-04T14:19:08Z</dcterms:modified>
</cp:coreProperties>
</file>